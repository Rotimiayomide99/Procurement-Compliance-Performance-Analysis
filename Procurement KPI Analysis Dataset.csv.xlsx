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AD14846-2D53-4107-8ADE-D6374B896CE8}" xr6:coauthVersionLast="47" xr6:coauthVersionMax="47" xr10:uidLastSave="{00000000-0000-0000-0000-000000000000}"/>
  <bookViews>
    <workbookView xWindow="-110" yWindow="-110" windowWidth="19420" windowHeight="11020" xr2:uid="{E1CDBF33-A9C5-4AE7-A8F2-1D6465517CA2}"/>
  </bookViews>
  <sheets>
    <sheet name="Procurement KPI Analysis Dat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K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</calcChain>
</file>

<file path=xl/sharedStrings.xml><?xml version="1.0" encoding="utf-8"?>
<sst xmlns="http://schemas.openxmlformats.org/spreadsheetml/2006/main" count="3901" uniqueCount="810">
  <si>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</si>
  <si>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</si>
  <si>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</si>
  <si>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</si>
  <si>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</si>
  <si>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</si>
  <si>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</si>
  <si>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</si>
  <si>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</si>
  <si>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</si>
  <si>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</si>
  <si>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</si>
  <si>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</si>
  <si>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</si>
  <si>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</si>
  <si>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</si>
  <si>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</si>
  <si>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</si>
  <si>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</si>
  <si>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</si>
  <si>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</si>
  <si>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</si>
  <si>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</si>
  <si>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</si>
  <si>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</si>
  <si>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</si>
  <si>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</si>
  <si>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</si>
  <si>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</si>
  <si>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</si>
  <si>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</si>
  <si>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</si>
  <si>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</si>
  <si>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</si>
  <si>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</si>
  <si>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</si>
  <si>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</si>
  <si>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</si>
  <si>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</si>
  <si>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</si>
  <si>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</si>
  <si>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</si>
  <si>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</si>
  <si>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</si>
  <si>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</si>
  <si>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</si>
  <si>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</si>
  <si>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</si>
  <si>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</si>
  <si>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</si>
  <si>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</si>
  <si>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</si>
  <si>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</si>
  <si>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</si>
  <si>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</si>
  <si>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</si>
  <si>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</si>
  <si>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</si>
  <si>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</si>
  <si>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</si>
  <si>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</si>
  <si>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</si>
  <si>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</si>
  <si>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</si>
  <si>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</si>
  <si>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</si>
  <si>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</si>
  <si>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</si>
  <si>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</si>
  <si>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</si>
  <si>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</si>
  <si>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</si>
  <si>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</si>
  <si>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</si>
  <si>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</si>
  <si>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</si>
  <si>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</si>
  <si>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</si>
  <si>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</si>
  <si>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</si>
  <si>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</si>
  <si>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</si>
  <si>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</si>
  <si>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</si>
  <si>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</si>
  <si>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</si>
  <si>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</si>
  <si>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</si>
  <si>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</si>
  <si>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</si>
  <si>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</si>
  <si>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</si>
  <si>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</si>
  <si>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</si>
  <si>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</si>
  <si>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</si>
  <si>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</si>
  <si>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</si>
  <si>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</si>
  <si>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</si>
  <si>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</si>
  <si>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</si>
  <si>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</si>
  <si>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</si>
  <si>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</si>
  <si>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</si>
  <si>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</si>
  <si>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</si>
  <si>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</si>
  <si>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</si>
  <si>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</si>
  <si>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</si>
  <si>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</si>
  <si>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</si>
  <si>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</si>
  <si>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</si>
  <si>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</si>
  <si>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</si>
  <si>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</si>
  <si>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</si>
  <si>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</si>
  <si>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</si>
  <si>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</si>
  <si>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</si>
  <si>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</si>
  <si>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</si>
  <si>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</si>
  <si>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</si>
  <si>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</si>
  <si>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</si>
  <si>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</si>
  <si>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</si>
  <si>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</si>
  <si>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</si>
  <si>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</si>
  <si>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</si>
  <si>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</si>
  <si>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</si>
  <si>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</si>
  <si>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</si>
  <si>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</si>
  <si>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</si>
  <si>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</si>
  <si>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</si>
  <si>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</si>
  <si>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</si>
  <si>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</si>
  <si>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</si>
  <si>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</si>
  <si>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</si>
  <si>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</si>
  <si>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</si>
  <si>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</si>
  <si>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</si>
  <si>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</si>
  <si>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</si>
  <si>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</si>
  <si>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</si>
  <si>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</si>
  <si>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</si>
  <si>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</si>
  <si>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</si>
  <si>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</si>
  <si>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</si>
  <si>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</si>
  <si>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</si>
  <si>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</si>
  <si>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</si>
  <si>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</si>
  <si>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</si>
  <si>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</si>
  <si>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</si>
  <si>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</si>
  <si>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</si>
  <si>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</si>
  <si>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</si>
  <si>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</si>
  <si>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</si>
  <si>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</si>
  <si>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</si>
  <si>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</si>
  <si>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</si>
  <si>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</si>
  <si>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</si>
  <si>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</si>
  <si>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</si>
  <si>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</si>
  <si>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</si>
  <si>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</si>
  <si>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</si>
  <si>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</si>
  <si>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</si>
  <si>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</si>
  <si>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</si>
  <si>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</si>
  <si>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</si>
  <si>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</si>
  <si>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</si>
  <si>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</si>
  <si>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</si>
  <si>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</si>
  <si>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</si>
  <si>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</si>
  <si>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</si>
  <si>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</si>
  <si>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</si>
  <si>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</si>
  <si>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</si>
  <si>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</si>
  <si>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</si>
  <si>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</si>
  <si>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</si>
  <si>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</si>
  <si>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</si>
  <si>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</si>
  <si>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</si>
  <si>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</si>
  <si>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</si>
  <si>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</si>
  <si>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</si>
  <si>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</si>
  <si>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</si>
  <si>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</si>
  <si>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</si>
  <si>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</si>
  <si>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</si>
  <si>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</si>
  <si>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</si>
  <si>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</si>
  <si>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</si>
  <si>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</si>
  <si>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</si>
  <si>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</si>
  <si>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</si>
  <si>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</si>
  <si>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</si>
  <si>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</si>
  <si>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</si>
  <si>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</si>
  <si>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</si>
  <si>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</si>
  <si>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</si>
  <si>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</si>
  <si>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</si>
  <si>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</si>
  <si>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</si>
  <si>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</si>
  <si>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</si>
  <si>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</si>
  <si>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</si>
  <si>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</si>
  <si>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</si>
  <si>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</si>
  <si>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</si>
  <si>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</si>
  <si>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</si>
  <si>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</si>
  <si>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</si>
  <si>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</si>
  <si>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</si>
  <si>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</si>
  <si>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</si>
  <si>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</si>
  <si>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</si>
  <si>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</si>
  <si>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</si>
  <si>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</si>
  <si>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</si>
  <si>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</si>
  <si>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</si>
  <si>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</si>
  <si>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</si>
  <si>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</si>
  <si>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</si>
  <si>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</si>
  <si>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</si>
  <si>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</si>
  <si>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</si>
  <si>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</si>
  <si>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</si>
  <si>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</si>
  <si>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</si>
  <si>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</si>
  <si>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</si>
  <si>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</si>
  <si>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</si>
  <si>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</si>
  <si>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</si>
  <si>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</si>
  <si>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</si>
  <si>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</si>
  <si>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</si>
  <si>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</si>
  <si>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</si>
  <si>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</si>
  <si>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</si>
  <si>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</si>
  <si>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</si>
  <si>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</si>
  <si>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</si>
  <si>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</si>
  <si>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</si>
  <si>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</si>
  <si>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</si>
  <si>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</si>
  <si>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</si>
  <si>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</si>
  <si>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</si>
  <si>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</si>
  <si>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</si>
  <si>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</si>
  <si>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</si>
  <si>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</si>
  <si>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</si>
  <si>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</si>
  <si>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</si>
  <si>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</si>
  <si>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</si>
  <si>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</si>
  <si>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</si>
  <si>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</si>
  <si>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</si>
  <si>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</si>
  <si>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</si>
  <si>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</si>
  <si>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</si>
  <si>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</si>
  <si>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</si>
  <si>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</si>
  <si>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</si>
  <si>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</si>
  <si>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</si>
  <si>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</si>
  <si>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</si>
  <si>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</si>
  <si>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</si>
  <si>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</si>
  <si>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</si>
  <si>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</si>
  <si>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</si>
  <si>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</si>
  <si>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</si>
  <si>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</si>
  <si>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</si>
  <si>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</si>
  <si>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</si>
  <si>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</si>
  <si>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</si>
  <si>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</si>
  <si>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</si>
  <si>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</si>
  <si>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</si>
  <si>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</si>
  <si>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</si>
  <si>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</si>
  <si>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</si>
  <si>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</si>
  <si>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</si>
  <si>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</si>
  <si>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</si>
  <si>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</si>
  <si>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</si>
  <si>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</si>
  <si>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</si>
  <si>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</si>
  <si>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</si>
  <si>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</si>
  <si>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</si>
  <si>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</si>
  <si>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</si>
  <si>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</si>
  <si>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</si>
  <si>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</si>
  <si>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</si>
  <si>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</si>
  <si>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</si>
  <si>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</si>
  <si>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</si>
  <si>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</si>
  <si>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</si>
  <si>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</si>
  <si>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</si>
  <si>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</si>
  <si>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</si>
  <si>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</si>
  <si>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</si>
  <si>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</si>
  <si>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</si>
  <si>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</si>
  <si>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</si>
  <si>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</si>
  <si>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</si>
  <si>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</si>
  <si>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</si>
  <si>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</si>
  <si>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</si>
  <si>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</si>
  <si>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</si>
  <si>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</si>
  <si>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</si>
  <si>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</si>
  <si>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</si>
  <si>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</si>
  <si>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</si>
  <si>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</si>
  <si>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</si>
  <si>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</si>
  <si>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</si>
  <si>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</si>
  <si>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</si>
  <si>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</si>
  <si>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</si>
  <si>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</si>
  <si>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</si>
  <si>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</si>
  <si>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</si>
  <si>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</si>
  <si>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</si>
  <si>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</si>
  <si>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</si>
  <si>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</si>
  <si>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</si>
  <si>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</si>
  <si>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</si>
  <si>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</si>
  <si>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</si>
  <si>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</si>
  <si>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</si>
  <si>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</si>
  <si>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</si>
  <si>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</si>
  <si>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</si>
  <si>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</si>
  <si>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</si>
  <si>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</si>
  <si>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</si>
  <si>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</si>
  <si>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</si>
  <si>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</si>
  <si>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</si>
  <si>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</si>
  <si>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</si>
  <si>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</si>
  <si>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</si>
  <si>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</si>
  <si>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</si>
  <si>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</si>
  <si>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</si>
  <si>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</si>
  <si>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</si>
  <si>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</si>
  <si>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</si>
  <si>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</si>
  <si>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</si>
  <si>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</si>
  <si>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</si>
  <si>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</si>
  <si>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</si>
  <si>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</si>
  <si>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</si>
  <si>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</si>
  <si>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</si>
  <si>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</si>
  <si>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</si>
  <si>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</si>
  <si>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</si>
  <si>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</si>
  <si>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</si>
  <si>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</si>
  <si>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</si>
  <si>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</si>
  <si>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</si>
  <si>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</si>
  <si>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</si>
  <si>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</si>
  <si>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</si>
  <si>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</si>
  <si>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</si>
  <si>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</si>
  <si>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</si>
  <si>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</si>
  <si>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</si>
  <si>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</si>
  <si>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</si>
  <si>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</si>
  <si>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</si>
  <si>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</si>
  <si>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</si>
  <si>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</si>
  <si>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</si>
  <si>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</si>
  <si>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</si>
  <si>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</si>
  <si>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</si>
  <si>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</si>
  <si>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</si>
  <si>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</si>
  <si>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</si>
  <si>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</si>
  <si>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</si>
  <si>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</si>
  <si>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</si>
  <si>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</si>
  <si>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</si>
  <si>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</si>
  <si>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</si>
  <si>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</si>
  <si>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</si>
  <si>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</si>
  <si>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</si>
  <si>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</si>
  <si>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</si>
  <si>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</si>
  <si>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</si>
  <si>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</si>
  <si>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</si>
  <si>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</si>
  <si>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</si>
  <si>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</si>
  <si>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</si>
  <si>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</si>
  <si>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</si>
  <si>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</si>
  <si>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</si>
  <si>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</si>
  <si>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</si>
  <si>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</si>
  <si>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</si>
  <si>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</si>
  <si>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</si>
  <si>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</si>
  <si>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</si>
  <si>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</si>
  <si>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</si>
  <si>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</si>
  <si>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</si>
  <si>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</si>
  <si>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</si>
  <si>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</si>
  <si>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</si>
  <si>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</si>
  <si>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</si>
  <si>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</si>
  <si>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</si>
  <si>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</si>
  <si>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</si>
  <si>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</si>
  <si>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</si>
  <si>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</si>
  <si>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</si>
  <si>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</si>
  <si>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</si>
  <si>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</si>
  <si>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</si>
  <si>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</si>
  <si>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</si>
  <si>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</si>
  <si>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</si>
  <si>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</si>
  <si>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</si>
  <si>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</si>
  <si>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</si>
  <si>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</si>
  <si>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</si>
  <si>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</si>
  <si>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</si>
  <si>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</si>
  <si>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</si>
  <si>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</si>
  <si>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</si>
  <si>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</si>
  <si>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</si>
  <si>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</si>
  <si>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</si>
  <si>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</si>
  <si>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</si>
  <si>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</si>
  <si>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</si>
  <si>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</si>
  <si>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</si>
  <si>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</si>
  <si>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</si>
  <si>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</si>
  <si>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</si>
  <si>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</si>
  <si>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</si>
  <si>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</si>
  <si>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</si>
  <si>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</si>
  <si>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</si>
  <si>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</si>
  <si>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</si>
  <si>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</si>
  <si>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</si>
  <si>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</si>
  <si>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</si>
  <si>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</si>
  <si>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</si>
  <si>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</si>
  <si>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</si>
  <si>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</si>
  <si>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</si>
  <si>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</si>
  <si>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</si>
  <si>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</si>
  <si>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</si>
  <si>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</si>
  <si>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</si>
  <si>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</si>
  <si>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</si>
  <si>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</si>
  <si>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</si>
  <si>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</si>
  <si>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</si>
  <si>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</si>
  <si>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</si>
  <si>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</si>
  <si>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</si>
  <si>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</si>
  <si>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</si>
  <si>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</si>
  <si>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</si>
  <si>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</si>
  <si>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</si>
  <si>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</si>
  <si>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</si>
  <si>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</si>
  <si>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</si>
  <si>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</si>
  <si>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</si>
  <si>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</si>
  <si>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</si>
  <si>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</si>
  <si>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</si>
  <si>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</si>
  <si>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</si>
  <si>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</si>
  <si>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</si>
  <si>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</si>
  <si>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</si>
  <si>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</si>
  <si>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</si>
  <si>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</si>
  <si>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</si>
  <si>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</si>
  <si>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</si>
  <si>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</si>
  <si>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</si>
  <si>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</si>
  <si>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</si>
  <si>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</si>
  <si>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</si>
  <si>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</si>
  <si>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</si>
  <si>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</si>
  <si>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</si>
  <si>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</si>
  <si>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</si>
  <si>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</si>
  <si>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</si>
  <si>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</si>
  <si>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</si>
  <si>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</si>
  <si>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</si>
  <si>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</si>
  <si>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</si>
  <si>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</si>
  <si>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</si>
  <si>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</si>
  <si>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</si>
  <si>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</si>
  <si>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</si>
  <si>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</si>
  <si>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</si>
  <si>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</si>
  <si>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</si>
  <si>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</si>
  <si>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</si>
  <si>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</si>
  <si>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</si>
  <si>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</si>
  <si>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</si>
  <si>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</si>
  <si>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</si>
  <si>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</si>
  <si>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</si>
  <si>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</si>
  <si>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</si>
  <si>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</si>
  <si>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</si>
  <si>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</si>
  <si>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</si>
  <si>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</si>
  <si>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</si>
  <si>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</si>
  <si>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</si>
  <si>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</si>
  <si>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</si>
  <si>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</si>
  <si>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</si>
  <si>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</si>
  <si>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</si>
  <si>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</si>
  <si>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</si>
  <si>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</si>
  <si>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</si>
  <si>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</si>
  <si>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</si>
  <si>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</si>
  <si>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</si>
  <si>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</si>
  <si>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</si>
  <si>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</si>
  <si>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</si>
  <si>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</si>
  <si>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</si>
  <si>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</si>
  <si>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</si>
  <si>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</si>
  <si>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</si>
  <si>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</si>
  <si>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</si>
  <si>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</si>
  <si>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</si>
  <si>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</si>
  <si>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</si>
  <si>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</si>
  <si>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</si>
  <si>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</si>
  <si>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</si>
  <si>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</si>
  <si>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</si>
  <si>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</si>
  <si>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</si>
  <si>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</si>
  <si>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</si>
  <si>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</si>
  <si>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</si>
  <si>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</si>
  <si>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</si>
  <si>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</si>
  <si>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</si>
  <si>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</si>
  <si>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</si>
  <si>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</si>
  <si>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</si>
  <si>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</si>
  <si>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</si>
  <si>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</si>
  <si>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</si>
  <si>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</si>
  <si>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</si>
  <si>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</si>
  <si>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</si>
  <si>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</si>
  <si>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</si>
  <si>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</si>
  <si>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</si>
  <si>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</si>
  <si>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</si>
  <si>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</si>
  <si>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</si>
  <si>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</si>
  <si>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</si>
  <si>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</si>
  <si>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</si>
  <si>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</si>
  <si>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</si>
  <si>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</si>
  <si>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</si>
  <si>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</si>
  <si>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</si>
  <si>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</si>
  <si>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</si>
  <si>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</si>
  <si>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</si>
  <si>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</si>
  <si>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</si>
  <si>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</si>
  <si>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</si>
  <si>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</si>
  <si>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</si>
  <si>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</si>
  <si>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</si>
  <si>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</si>
  <si>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</si>
  <si>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</si>
  <si>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</si>
  <si>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</si>
  <si>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</si>
  <si>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</si>
  <si>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</si>
  <si>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</si>
  <si>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</si>
  <si>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</si>
  <si>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</si>
  <si>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</si>
  <si>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</si>
  <si>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</si>
  <si>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</si>
  <si>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</si>
  <si>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</si>
  <si>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</si>
  <si>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</si>
  <si>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Column1</t>
  </si>
  <si>
    <t>Savings</t>
  </si>
  <si>
    <t>Total Negotiated Price</t>
  </si>
  <si>
    <t>Compliance2</t>
  </si>
  <si>
    <t>Percentage Savings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</si>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</sst>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43" applyFont="1"/>
    <xf numFmtId="44" fontId="0" fillId="0" borderId="0" xfId="42" applyFont="1"/>
    <xf numFmtId="4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164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EBCE1-8FF5-4834-931A-2E90E00BA2EE}" name="Table1" displayName="Table1" ref="A1:Q778" totalsRowShown="0">
  <autoFilter ref="A1:Q778" xr:uid="{CE6EBCE1-8FF5-4834-931A-2E90E00BA2EE}">
    <filterColumn colId="3">
      <customFilters>
        <customFilter operator="notEqual" val=" "/>
      </customFilters>
    </filterColumn>
  </autoFilter>
  <tableColumns count="17">
    <tableColumn id="1" xr3:uid="{7916E530-8742-4463-8B66-7857AAA3A201}" name="PO_ID"/>
    <tableColumn id="2" xr3:uid="{3AD8CA6A-3B01-45BB-84E9-59A4F971DB1F}" name="Supplier"/>
    <tableColumn id="3" xr3:uid="{D092A82D-46E0-430E-98E1-307F772F1E23}" name="Order_Date" dataDxfId="7"/>
    <tableColumn id="4" xr3:uid="{CA474DA1-9F0A-45F3-88D5-3A6486C114AC}" name="Delivery_Date" dataDxfId="6"/>
    <tableColumn id="15" xr3:uid="{423C627B-14D9-4944-AD54-27A38F76D103}" name="Column1" dataDxfId="5">
      <calculatedColumnFormula>SUM(Table1[[#This Row],[Delivery_Date]]-Table1[[#This Row],[Order_Date]])</calculatedColumnFormula>
    </tableColumn>
    <tableColumn id="5" xr3:uid="{034FDBA0-8BED-43CF-9331-941178F160CA}" name="Item_Category"/>
    <tableColumn id="6" xr3:uid="{D2F7873E-972B-4CD0-86B8-E9E6BB48EDC7}" name="Order_Status"/>
    <tableColumn id="7" xr3:uid="{8DF34366-1004-434C-8933-0495A2FAD9CF}" name="Quantity"/>
    <tableColumn id="8" xr3:uid="{F5A5AD90-542A-4736-BE43-00D7F0AFF470}" name="Unit_Price"/>
    <tableColumn id="9" xr3:uid="{6B9F1C66-65E9-4A35-BAB0-EF7472F4E8EC}" name="Negotiated_Price"/>
    <tableColumn id="16" xr3:uid="{AFFBBE88-8DC7-4ACC-AEDC-3B1E9BC7C565}" name="Total Negotiated Price" dataDxfId="4">
      <calculatedColumnFormula>Table1[[#This Row],[Quantity]]*Table1[[#This Row],[Negotiated_Price]]</calculatedColumnFormula>
    </tableColumn>
    <tableColumn id="12" xr3:uid="{1A06EF07-98AE-409E-BC59-9345BD18D211}" name="Total Price" dataDxfId="0" dataCellStyle="Currency">
      <calculatedColumnFormula>Table1[[#This Row],[Quantity]]*Table1[[#This Row],[Unit_Price]]</calculatedColumnFormula>
    </tableColumn>
    <tableColumn id="13" xr3:uid="{CB4F01A6-47DA-4E74-80D1-CE07FAF2CFCC}" name="Savings" dataDxfId="3">
      <calculatedColumnFormula>Table1[[#This Row],[Unit_Price]]-Table1[[#This Row],[Negotiated_Price]]</calculatedColumnFormula>
    </tableColumn>
    <tableColumn id="18" xr3:uid="{3228B5EC-2006-46D2-AE8A-D9FF0ABEB7A1}" name="Percentage Savings" dataDxfId="1">
      <calculatedColumnFormula>(Table1[[#This Row],[Unit_Price]]-Table1[[#This Row],[Negotiated_Price]])/Table1[[#This Row],[Unit_Price]]</calculatedColumnFormula>
    </tableColumn>
    <tableColumn id="10" xr3:uid="{D77A682B-C734-4ACF-82C1-6CF6ACA5D3FF}" name="Defective_Units"/>
    <tableColumn id="11" xr3:uid="{F3215AC7-9246-4058-9755-24649D7B957F}" name="Compliance"/>
    <tableColumn id="17" xr3:uid="{CDFD3860-E3F1-40F7-BC94-F190A6CDABDD}" name="Compliance2" dataDxfId="2">
      <calculatedColumnFormula>IF(Table1[[#This Row],[Compliance]]="Yes", 1, 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1FF8-C346-4659-8440-9DEBCD32C673}">
  <dimension ref="A1:Q778"/>
  <sheetViews>
    <sheetView tabSelected="1" topLeftCell="D1" workbookViewId="0">
      <selection activeCell="L6" sqref="L6"/>
    </sheetView>
  </sheetViews>
  <sheetFormatPr defaultRowHeight="14.5" x14ac:dyDescent="0.35"/>
  <cols>
    <col min="1" max="1" width="8.81640625" bestFit="1" customWidth="1"/>
    <col min="2" max="2" width="13.1796875" bestFit="1" customWidth="1"/>
    <col min="3" max="3" width="12.6328125" customWidth="1"/>
    <col min="4" max="5" width="14.453125" customWidth="1"/>
    <col min="6" max="6" width="15" customWidth="1"/>
    <col min="7" max="7" width="15.90625" bestFit="1" customWidth="1"/>
    <col min="8" max="8" width="10" customWidth="1"/>
    <col min="9" max="9" width="11.26953125" style="4" customWidth="1"/>
    <col min="10" max="13" width="16.90625" style="4" customWidth="1"/>
    <col min="14" max="14" width="16.90625" style="3" customWidth="1"/>
    <col min="15" max="15" width="16.36328125" bestFit="1" customWidth="1"/>
    <col min="16" max="16" width="12.54296875" customWidth="1"/>
    <col min="17" max="17" width="13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804</v>
      </c>
      <c r="F1" t="s">
        <v>4</v>
      </c>
      <c r="G1" t="s">
        <v>5</v>
      </c>
      <c r="H1" t="s">
        <v>6</v>
      </c>
      <c r="I1" s="4" t="s">
        <v>7</v>
      </c>
      <c r="J1" s="4" t="s">
        <v>8</v>
      </c>
      <c r="K1" s="4" t="s">
        <v>806</v>
      </c>
      <c r="L1" s="4" t="s">
        <v>809</v>
      </c>
      <c r="M1" s="4" t="s">
        <v>805</v>
      </c>
      <c r="N1" s="3" t="s">
        <v>808</v>
      </c>
      <c r="O1" t="s">
        <v>9</v>
      </c>
      <c r="P1" t="s">
        <v>10</v>
      </c>
      <c r="Q1" t="s">
        <v>807</v>
      </c>
    </row>
    <row r="2" spans="1:17" x14ac:dyDescent="0.35">
      <c r="A2" t="s">
        <v>11</v>
      </c>
      <c r="B2" t="s">
        <v>12</v>
      </c>
      <c r="C2" s="1">
        <v>45216</v>
      </c>
      <c r="D2" s="1">
        <v>45224</v>
      </c>
      <c r="E2" s="1">
        <f>SUM(Table1[[#This Row],[Delivery_Date]]-Table1[[#This Row],[Order_Date]])</f>
        <v>8</v>
      </c>
      <c r="F2" t="s">
        <v>13</v>
      </c>
      <c r="G2" t="s">
        <v>14</v>
      </c>
      <c r="H2">
        <v>1176</v>
      </c>
      <c r="I2" s="4">
        <v>20.13</v>
      </c>
      <c r="J2" s="4">
        <v>17.809999999999999</v>
      </c>
      <c r="K2" s="4">
        <f>Table1[[#This Row],[Quantity]]*Table1[[#This Row],[Negotiated_Price]]</f>
        <v>20944.559999999998</v>
      </c>
      <c r="L2" s="4">
        <f>Table1[[#This Row],[Quantity]]*Table1[[#This Row],[Unit_Price]]</f>
        <v>23672.879999999997</v>
      </c>
      <c r="M2" s="4">
        <f>Table1[[#This Row],[Unit_Price]]-Table1[[#This Row],[Negotiated_Price]]</f>
        <v>2.3200000000000003</v>
      </c>
      <c r="N2" s="3">
        <f>(Table1[[#This Row],[Unit_Price]]-Table1[[#This Row],[Negotiated_Price]])/Table1[[#This Row],[Unit_Price]]</f>
        <v>0.11525086934923003</v>
      </c>
      <c r="P2" t="s">
        <v>15</v>
      </c>
      <c r="Q2">
        <f>IF(Table1[[#This Row],[Compliance]]="Yes", 1, 0)</f>
        <v>1</v>
      </c>
    </row>
    <row r="3" spans="1:17" x14ac:dyDescent="0.35">
      <c r="A3" t="s">
        <v>16</v>
      </c>
      <c r="B3" t="s">
        <v>17</v>
      </c>
      <c r="C3" s="1">
        <v>44676</v>
      </c>
      <c r="D3" s="1">
        <v>44686</v>
      </c>
      <c r="E3" s="1">
        <f>SUM(Table1[[#This Row],[Delivery_Date]]-Table1[[#This Row],[Order_Date]])</f>
        <v>10</v>
      </c>
      <c r="F3" t="s">
        <v>13</v>
      </c>
      <c r="G3" t="s">
        <v>18</v>
      </c>
      <c r="H3">
        <v>1509</v>
      </c>
      <c r="I3" s="4">
        <v>39.32</v>
      </c>
      <c r="J3" s="4">
        <v>37.340000000000003</v>
      </c>
      <c r="K3" s="4">
        <f>Table1[[#This Row],[Quantity]]*Table1[[#This Row],[Negotiated_Price]]</f>
        <v>56346.060000000005</v>
      </c>
      <c r="L3" s="4">
        <f>Table1[[#This Row],[Quantity]]*Table1[[#This Row],[Unit_Price]]</f>
        <v>59333.88</v>
      </c>
      <c r="M3" s="4">
        <f>Table1[[#This Row],[Unit_Price]]-Table1[[#This Row],[Negotiated_Price]]</f>
        <v>1.9799999999999969</v>
      </c>
      <c r="N3" s="3">
        <f>(Table1[[#This Row],[Unit_Price]]-Table1[[#This Row],[Negotiated_Price]])/Table1[[#This Row],[Unit_Price]]</f>
        <v>5.0356052899287816E-2</v>
      </c>
      <c r="O3">
        <v>235</v>
      </c>
      <c r="P3" t="s">
        <v>15</v>
      </c>
      <c r="Q3">
        <f>IF(Table1[[#This Row],[Compliance]]="Yes", 1, 0)</f>
        <v>1</v>
      </c>
    </row>
    <row r="4" spans="1:17" x14ac:dyDescent="0.35">
      <c r="A4" t="s">
        <v>19</v>
      </c>
      <c r="B4" t="s">
        <v>20</v>
      </c>
      <c r="C4" s="1">
        <v>44587</v>
      </c>
      <c r="D4" s="1">
        <v>44607</v>
      </c>
      <c r="E4" s="1">
        <f>SUM(Table1[[#This Row],[Delivery_Date]]-Table1[[#This Row],[Order_Date]])</f>
        <v>20</v>
      </c>
      <c r="F4" t="s">
        <v>21</v>
      </c>
      <c r="G4" t="s">
        <v>18</v>
      </c>
      <c r="H4">
        <v>910</v>
      </c>
      <c r="I4" s="4">
        <v>95.51</v>
      </c>
      <c r="J4" s="4">
        <v>92.26</v>
      </c>
      <c r="K4" s="4">
        <f>Table1[[#This Row],[Quantity]]*Table1[[#This Row],[Negotiated_Price]]</f>
        <v>83956.6</v>
      </c>
      <c r="L4" s="4">
        <f>Table1[[#This Row],[Quantity]]*Table1[[#This Row],[Unit_Price]]</f>
        <v>86914.1</v>
      </c>
      <c r="M4" s="4">
        <f>Table1[[#This Row],[Unit_Price]]-Table1[[#This Row],[Negotiated_Price]]</f>
        <v>3.25</v>
      </c>
      <c r="N4" s="3">
        <f>(Table1[[#This Row],[Unit_Price]]-Table1[[#This Row],[Negotiated_Price]])/Table1[[#This Row],[Unit_Price]]</f>
        <v>3.4027850486860016E-2</v>
      </c>
      <c r="O4">
        <v>41</v>
      </c>
      <c r="P4" t="s">
        <v>15</v>
      </c>
      <c r="Q4">
        <f>IF(Table1[[#This Row],[Compliance]]="Yes", 1, 0)</f>
        <v>1</v>
      </c>
    </row>
    <row r="5" spans="1:17" x14ac:dyDescent="0.35">
      <c r="A5" t="s">
        <v>22</v>
      </c>
      <c r="B5" t="s">
        <v>23</v>
      </c>
      <c r="C5" s="1">
        <v>44843</v>
      </c>
      <c r="D5" s="1">
        <v>44862</v>
      </c>
      <c r="E5" s="1">
        <f>SUM(Table1[[#This Row],[Delivery_Date]]-Table1[[#This Row],[Order_Date]])</f>
        <v>19</v>
      </c>
      <c r="F5" t="s">
        <v>24</v>
      </c>
      <c r="G5" t="s">
        <v>18</v>
      </c>
      <c r="H5">
        <v>1344</v>
      </c>
      <c r="I5" s="4">
        <v>99.85</v>
      </c>
      <c r="J5" s="4">
        <v>95.52</v>
      </c>
      <c r="K5" s="4">
        <f>Table1[[#This Row],[Quantity]]*Table1[[#This Row],[Negotiated_Price]]</f>
        <v>128378.87999999999</v>
      </c>
      <c r="L5" s="4">
        <f>Table1[[#This Row],[Quantity]]*Table1[[#This Row],[Unit_Price]]</f>
        <v>134198.39999999999</v>
      </c>
      <c r="M5" s="4">
        <f>Table1[[#This Row],[Unit_Price]]-Table1[[#This Row],[Negotiated_Price]]</f>
        <v>4.3299999999999983</v>
      </c>
      <c r="N5" s="3">
        <f>(Table1[[#This Row],[Unit_Price]]-Table1[[#This Row],[Negotiated_Price]])/Table1[[#This Row],[Unit_Price]]</f>
        <v>4.3365047571357021E-2</v>
      </c>
      <c r="O5">
        <v>112</v>
      </c>
      <c r="P5" t="s">
        <v>15</v>
      </c>
      <c r="Q5">
        <f>IF(Table1[[#This Row],[Compliance]]="Yes", 1, 0)</f>
        <v>1</v>
      </c>
    </row>
    <row r="6" spans="1:17" x14ac:dyDescent="0.35">
      <c r="A6" t="s">
        <v>25</v>
      </c>
      <c r="B6" t="s">
        <v>17</v>
      </c>
      <c r="C6" s="1">
        <v>44812</v>
      </c>
      <c r="D6" s="1">
        <v>44824</v>
      </c>
      <c r="E6" s="1">
        <f>SUM(Table1[[#This Row],[Delivery_Date]]-Table1[[#This Row],[Order_Date]])</f>
        <v>12</v>
      </c>
      <c r="F6" t="s">
        <v>26</v>
      </c>
      <c r="G6" t="s">
        <v>18</v>
      </c>
      <c r="H6">
        <v>1180</v>
      </c>
      <c r="I6" s="4">
        <v>64.069999999999993</v>
      </c>
      <c r="J6" s="4">
        <v>60.53</v>
      </c>
      <c r="K6" s="4">
        <f>Table1[[#This Row],[Quantity]]*Table1[[#This Row],[Negotiated_Price]]</f>
        <v>71425.399999999994</v>
      </c>
      <c r="L6" s="4">
        <f>Table1[[#This Row],[Quantity]]*Table1[[#This Row],[Unit_Price]]</f>
        <v>75602.599999999991</v>
      </c>
      <c r="M6" s="4">
        <f>Table1[[#This Row],[Unit_Price]]-Table1[[#This Row],[Negotiated_Price]]</f>
        <v>3.539999999999992</v>
      </c>
      <c r="N6" s="3">
        <f>(Table1[[#This Row],[Unit_Price]]-Table1[[#This Row],[Negotiated_Price]])/Table1[[#This Row],[Unit_Price]]</f>
        <v>5.5252068050569571E-2</v>
      </c>
      <c r="O6">
        <v>171</v>
      </c>
      <c r="P6" t="s">
        <v>27</v>
      </c>
      <c r="Q6">
        <f>IF(Table1[[#This Row],[Compliance]]="Yes", 1, 0)</f>
        <v>0</v>
      </c>
    </row>
    <row r="7" spans="1:17" x14ac:dyDescent="0.35">
      <c r="A7" t="s">
        <v>28</v>
      </c>
      <c r="B7" t="s">
        <v>29</v>
      </c>
      <c r="C7" s="1">
        <v>44790</v>
      </c>
      <c r="D7" s="1">
        <v>44802</v>
      </c>
      <c r="E7" s="1">
        <f>SUM(Table1[[#This Row],[Delivery_Date]]-Table1[[#This Row],[Order_Date]])</f>
        <v>12</v>
      </c>
      <c r="F7" t="s">
        <v>21</v>
      </c>
      <c r="G7" t="s">
        <v>18</v>
      </c>
      <c r="H7">
        <v>1145</v>
      </c>
      <c r="I7" s="4">
        <v>69.209999999999994</v>
      </c>
      <c r="J7" s="4">
        <v>63.57</v>
      </c>
      <c r="K7" s="4">
        <f>Table1[[#This Row],[Quantity]]*Table1[[#This Row],[Negotiated_Price]]</f>
        <v>72787.649999999994</v>
      </c>
      <c r="L7" s="4">
        <f>Table1[[#This Row],[Quantity]]*Table1[[#This Row],[Unit_Price]]</f>
        <v>79245.45</v>
      </c>
      <c r="M7" s="4">
        <f>Table1[[#This Row],[Unit_Price]]-Table1[[#This Row],[Negotiated_Price]]</f>
        <v>5.6399999999999935</v>
      </c>
      <c r="N7" s="3">
        <f>(Table1[[#This Row],[Unit_Price]]-Table1[[#This Row],[Negotiated_Price]])/Table1[[#This Row],[Unit_Price]]</f>
        <v>8.1491114000866838E-2</v>
      </c>
      <c r="O7">
        <v>39</v>
      </c>
      <c r="P7" t="s">
        <v>15</v>
      </c>
      <c r="Q7">
        <f>IF(Table1[[#This Row],[Compliance]]="Yes", 1, 0)</f>
        <v>1</v>
      </c>
    </row>
    <row r="8" spans="1:17" x14ac:dyDescent="0.35">
      <c r="A8" t="s">
        <v>30</v>
      </c>
      <c r="B8" t="s">
        <v>20</v>
      </c>
      <c r="C8" s="1">
        <v>44704</v>
      </c>
      <c r="D8" s="1">
        <v>44715</v>
      </c>
      <c r="E8" s="1">
        <f>SUM(Table1[[#This Row],[Delivery_Date]]-Table1[[#This Row],[Order_Date]])</f>
        <v>11</v>
      </c>
      <c r="F8" t="s">
        <v>21</v>
      </c>
      <c r="G8" t="s">
        <v>18</v>
      </c>
      <c r="H8">
        <v>1774</v>
      </c>
      <c r="I8" s="4">
        <v>51.37</v>
      </c>
      <c r="J8" s="4">
        <v>47.82</v>
      </c>
      <c r="K8" s="4">
        <f>Table1[[#This Row],[Quantity]]*Table1[[#This Row],[Negotiated_Price]]</f>
        <v>84832.680000000008</v>
      </c>
      <c r="L8" s="4">
        <f>Table1[[#This Row],[Quantity]]*Table1[[#This Row],[Unit_Price]]</f>
        <v>91130.37999999999</v>
      </c>
      <c r="M8" s="4">
        <f>Table1[[#This Row],[Unit_Price]]-Table1[[#This Row],[Negotiated_Price]]</f>
        <v>3.5499999999999972</v>
      </c>
      <c r="N8" s="3">
        <f>(Table1[[#This Row],[Unit_Price]]-Table1[[#This Row],[Negotiated_Price]])/Table1[[#This Row],[Unit_Price]]</f>
        <v>6.9106482382713594E-2</v>
      </c>
      <c r="O8">
        <v>96</v>
      </c>
      <c r="P8" t="s">
        <v>27</v>
      </c>
      <c r="Q8">
        <f>IF(Table1[[#This Row],[Compliance]]="Yes", 1, 0)</f>
        <v>0</v>
      </c>
    </row>
    <row r="9" spans="1:17" x14ac:dyDescent="0.35">
      <c r="A9" t="s">
        <v>31</v>
      </c>
      <c r="B9" t="s">
        <v>12</v>
      </c>
      <c r="C9" s="1">
        <v>44666</v>
      </c>
      <c r="D9" s="1">
        <v>44680</v>
      </c>
      <c r="E9" s="1">
        <f>SUM(Table1[[#This Row],[Delivery_Date]]-Table1[[#This Row],[Order_Date]])</f>
        <v>14</v>
      </c>
      <c r="F9" t="s">
        <v>21</v>
      </c>
      <c r="G9" t="s">
        <v>18</v>
      </c>
      <c r="H9">
        <v>1094</v>
      </c>
      <c r="I9" s="4">
        <v>36.93</v>
      </c>
      <c r="J9" s="4">
        <v>32.78</v>
      </c>
      <c r="K9" s="4">
        <f>Table1[[#This Row],[Quantity]]*Table1[[#This Row],[Negotiated_Price]]</f>
        <v>35861.32</v>
      </c>
      <c r="L9" s="4">
        <f>Table1[[#This Row],[Quantity]]*Table1[[#This Row],[Unit_Price]]</f>
        <v>40401.42</v>
      </c>
      <c r="M9" s="4">
        <f>Table1[[#This Row],[Unit_Price]]-Table1[[#This Row],[Negotiated_Price]]</f>
        <v>4.1499999999999986</v>
      </c>
      <c r="N9" s="3">
        <f>(Table1[[#This Row],[Unit_Price]]-Table1[[#This Row],[Negotiated_Price]])/Table1[[#This Row],[Unit_Price]]</f>
        <v>0.11237476306525856</v>
      </c>
      <c r="O9">
        <v>22</v>
      </c>
      <c r="P9" t="s">
        <v>15</v>
      </c>
      <c r="Q9">
        <f>IF(Table1[[#This Row],[Compliance]]="Yes", 1, 0)</f>
        <v>1</v>
      </c>
    </row>
    <row r="10" spans="1:17" x14ac:dyDescent="0.35">
      <c r="A10" t="s">
        <v>32</v>
      </c>
      <c r="B10" t="s">
        <v>20</v>
      </c>
      <c r="C10" s="1">
        <v>45254</v>
      </c>
      <c r="D10" s="1">
        <v>45258</v>
      </c>
      <c r="E10" s="1">
        <f>SUM(Table1[[#This Row],[Delivery_Date]]-Table1[[#This Row],[Order_Date]])</f>
        <v>4</v>
      </c>
      <c r="F10" t="s">
        <v>26</v>
      </c>
      <c r="G10" t="s">
        <v>33</v>
      </c>
      <c r="H10">
        <v>1688</v>
      </c>
      <c r="I10" s="4">
        <v>43.93</v>
      </c>
      <c r="J10" s="4">
        <v>39.89</v>
      </c>
      <c r="K10" s="4">
        <f>Table1[[#This Row],[Quantity]]*Table1[[#This Row],[Negotiated_Price]]</f>
        <v>67334.320000000007</v>
      </c>
      <c r="L10" s="4">
        <f>Table1[[#This Row],[Quantity]]*Table1[[#This Row],[Unit_Price]]</f>
        <v>74153.84</v>
      </c>
      <c r="M10" s="4">
        <f>Table1[[#This Row],[Unit_Price]]-Table1[[#This Row],[Negotiated_Price]]</f>
        <v>4.0399999999999991</v>
      </c>
      <c r="N10" s="3">
        <f>(Table1[[#This Row],[Unit_Price]]-Table1[[#This Row],[Negotiated_Price]])/Table1[[#This Row],[Unit_Price]]</f>
        <v>9.1964488959708615E-2</v>
      </c>
      <c r="O10">
        <v>89</v>
      </c>
      <c r="P10" t="s">
        <v>15</v>
      </c>
      <c r="Q10">
        <f>IF(Table1[[#This Row],[Compliance]]="Yes", 1, 0)</f>
        <v>1</v>
      </c>
    </row>
    <row r="11" spans="1:17" x14ac:dyDescent="0.35">
      <c r="A11" t="s">
        <v>34</v>
      </c>
      <c r="B11" t="s">
        <v>20</v>
      </c>
      <c r="C11" s="1">
        <v>45120</v>
      </c>
      <c r="D11" s="1">
        <v>45132</v>
      </c>
      <c r="E11" s="1">
        <f>SUM(Table1[[#This Row],[Delivery_Date]]-Table1[[#This Row],[Order_Date]])</f>
        <v>12</v>
      </c>
      <c r="F11" t="s">
        <v>26</v>
      </c>
      <c r="G11" t="s">
        <v>35</v>
      </c>
      <c r="H11">
        <v>171</v>
      </c>
      <c r="I11" s="4">
        <v>76.87</v>
      </c>
      <c r="J11" s="4">
        <v>70.2</v>
      </c>
      <c r="K11" s="4">
        <f>Table1[[#This Row],[Quantity]]*Table1[[#This Row],[Negotiated_Price]]</f>
        <v>12004.2</v>
      </c>
      <c r="L11" s="4">
        <f>Table1[[#This Row],[Quantity]]*Table1[[#This Row],[Unit_Price]]</f>
        <v>13144.77</v>
      </c>
      <c r="M11" s="4">
        <f>Table1[[#This Row],[Unit_Price]]-Table1[[#This Row],[Negotiated_Price]]</f>
        <v>6.6700000000000017</v>
      </c>
      <c r="N11" s="3">
        <f>(Table1[[#This Row],[Unit_Price]]-Table1[[#This Row],[Negotiated_Price]])/Table1[[#This Row],[Unit_Price]]</f>
        <v>8.6769871211135705E-2</v>
      </c>
      <c r="O11">
        <v>8</v>
      </c>
      <c r="P11" t="s">
        <v>15</v>
      </c>
      <c r="Q11">
        <f>IF(Table1[[#This Row],[Compliance]]="Yes", 1, 0)</f>
        <v>1</v>
      </c>
    </row>
    <row r="12" spans="1:17" x14ac:dyDescent="0.35">
      <c r="A12" t="s">
        <v>36</v>
      </c>
      <c r="B12" t="s">
        <v>29</v>
      </c>
      <c r="C12" s="1">
        <v>44651</v>
      </c>
      <c r="D12" s="1">
        <v>44666</v>
      </c>
      <c r="E12" s="1">
        <f>SUM(Table1[[#This Row],[Delivery_Date]]-Table1[[#This Row],[Order_Date]])</f>
        <v>15</v>
      </c>
      <c r="F12" t="s">
        <v>26</v>
      </c>
      <c r="G12" t="s">
        <v>18</v>
      </c>
      <c r="H12">
        <v>5000</v>
      </c>
      <c r="I12" s="4">
        <v>78.489999999999995</v>
      </c>
      <c r="J12" s="4">
        <v>73.680000000000007</v>
      </c>
      <c r="K12" s="4">
        <f>Table1[[#This Row],[Quantity]]*Table1[[#This Row],[Negotiated_Price]]</f>
        <v>368400.00000000006</v>
      </c>
      <c r="L12" s="4">
        <f>Table1[[#This Row],[Quantity]]*Table1[[#This Row],[Unit_Price]]</f>
        <v>392450</v>
      </c>
      <c r="M12" s="4">
        <f>Table1[[#This Row],[Unit_Price]]-Table1[[#This Row],[Negotiated_Price]]</f>
        <v>4.8099999999999881</v>
      </c>
      <c r="N12" s="3">
        <f>(Table1[[#This Row],[Unit_Price]]-Table1[[#This Row],[Negotiated_Price]])/Table1[[#This Row],[Unit_Price]]</f>
        <v>6.1281691935278229E-2</v>
      </c>
      <c r="O12">
        <v>18</v>
      </c>
      <c r="P12" t="s">
        <v>15</v>
      </c>
      <c r="Q12">
        <f>IF(Table1[[#This Row],[Compliance]]="Yes", 1, 0)</f>
        <v>1</v>
      </c>
    </row>
    <row r="13" spans="1:17" x14ac:dyDescent="0.35">
      <c r="A13" t="s">
        <v>37</v>
      </c>
      <c r="B13" t="s">
        <v>23</v>
      </c>
      <c r="C13" s="1">
        <v>45166</v>
      </c>
      <c r="D13" s="1">
        <v>45180</v>
      </c>
      <c r="E13" s="1">
        <f>SUM(Table1[[#This Row],[Delivery_Date]]-Table1[[#This Row],[Order_Date]])</f>
        <v>14</v>
      </c>
      <c r="F13" t="s">
        <v>26</v>
      </c>
      <c r="G13" t="s">
        <v>18</v>
      </c>
      <c r="H13">
        <v>5000</v>
      </c>
      <c r="I13" s="4">
        <v>88.96</v>
      </c>
      <c r="J13" s="4">
        <v>86.58</v>
      </c>
      <c r="K13" s="4">
        <f>Table1[[#This Row],[Quantity]]*Table1[[#This Row],[Negotiated_Price]]</f>
        <v>432900</v>
      </c>
      <c r="L13" s="4">
        <f>Table1[[#This Row],[Quantity]]*Table1[[#This Row],[Unit_Price]]</f>
        <v>444799.99999999994</v>
      </c>
      <c r="M13" s="4">
        <f>Table1[[#This Row],[Unit_Price]]-Table1[[#This Row],[Negotiated_Price]]</f>
        <v>2.3799999999999955</v>
      </c>
      <c r="N13" s="3">
        <f>(Table1[[#This Row],[Unit_Price]]-Table1[[#This Row],[Negotiated_Price]])/Table1[[#This Row],[Unit_Price]]</f>
        <v>2.675359712230211E-2</v>
      </c>
      <c r="O13">
        <v>115</v>
      </c>
      <c r="P13" t="s">
        <v>15</v>
      </c>
      <c r="Q13">
        <f>IF(Table1[[#This Row],[Compliance]]="Yes", 1, 0)</f>
        <v>1</v>
      </c>
    </row>
    <row r="14" spans="1:17" x14ac:dyDescent="0.35">
      <c r="A14" t="s">
        <v>38</v>
      </c>
      <c r="B14" t="s">
        <v>23</v>
      </c>
      <c r="C14" s="1">
        <v>44994</v>
      </c>
      <c r="D14" s="1">
        <v>45011</v>
      </c>
      <c r="E14" s="1">
        <f>SUM(Table1[[#This Row],[Delivery_Date]]-Table1[[#This Row],[Order_Date]])</f>
        <v>17</v>
      </c>
      <c r="F14" t="s">
        <v>39</v>
      </c>
      <c r="G14" t="s">
        <v>35</v>
      </c>
      <c r="H14">
        <v>5000</v>
      </c>
      <c r="I14" s="4">
        <v>86.74</v>
      </c>
      <c r="J14" s="4">
        <v>74.86</v>
      </c>
      <c r="K14" s="4">
        <f>Table1[[#This Row],[Quantity]]*Table1[[#This Row],[Negotiated_Price]]</f>
        <v>374300</v>
      </c>
      <c r="L14" s="4">
        <f>Table1[[#This Row],[Quantity]]*Table1[[#This Row],[Unit_Price]]</f>
        <v>433700</v>
      </c>
      <c r="M14" s="4">
        <f>Table1[[#This Row],[Unit_Price]]-Table1[[#This Row],[Negotiated_Price]]</f>
        <v>11.879999999999995</v>
      </c>
      <c r="N14" s="3">
        <f>(Table1[[#This Row],[Unit_Price]]-Table1[[#This Row],[Negotiated_Price]])/Table1[[#This Row],[Unit_Price]]</f>
        <v>0.13696103297210049</v>
      </c>
      <c r="O14">
        <v>51</v>
      </c>
      <c r="P14" t="s">
        <v>15</v>
      </c>
      <c r="Q14">
        <f>IF(Table1[[#This Row],[Compliance]]="Yes", 1, 0)</f>
        <v>1</v>
      </c>
    </row>
    <row r="15" spans="1:17" hidden="1" x14ac:dyDescent="0.35">
      <c r="A15" t="s">
        <v>40</v>
      </c>
      <c r="B15" t="s">
        <v>23</v>
      </c>
      <c r="C15" s="1">
        <v>44594</v>
      </c>
      <c r="E15" s="1">
        <f>SUM(Table1[[#This Row],[Delivery_Date]]-Table1[[#This Row],[Order_Date]])</f>
        <v>-44594</v>
      </c>
      <c r="F15" t="s">
        <v>21</v>
      </c>
      <c r="G15" t="s">
        <v>18</v>
      </c>
      <c r="H15">
        <v>5000</v>
      </c>
      <c r="I15">
        <v>18.3</v>
      </c>
      <c r="J15">
        <v>16.88</v>
      </c>
      <c r="K15">
        <f>Table1[[#This Row],[Quantity]]*Table1[[#This Row],[Negotiated_Price]]</f>
        <v>84400</v>
      </c>
      <c r="L15" s="5">
        <f>Table1[[#This Row],[Quantity]]*Table1[[#This Row],[Unit_Price]]</f>
        <v>91500</v>
      </c>
      <c r="M15">
        <f>Table1[[#This Row],[Unit_Price]]-Table1[[#This Row],[Negotiated_Price]]</f>
        <v>1.4200000000000017</v>
      </c>
      <c r="N15" s="2">
        <f>(Table1[[#This Row],[Unit_Price]]-Table1[[#This Row],[Negotiated_Price]])/Table1[[#This Row],[Unit_Price]]</f>
        <v>7.7595628415300641E-2</v>
      </c>
      <c r="P15" t="s">
        <v>15</v>
      </c>
      <c r="Q15">
        <f>IF(Table1[[#This Row],[Compliance]]="Yes", 1, 0)</f>
        <v>1</v>
      </c>
    </row>
    <row r="16" spans="1:17" x14ac:dyDescent="0.35">
      <c r="A16" t="s">
        <v>41</v>
      </c>
      <c r="B16" t="s">
        <v>17</v>
      </c>
      <c r="C16" s="1">
        <v>44592</v>
      </c>
      <c r="D16" s="1">
        <v>44610</v>
      </c>
      <c r="E16" s="1">
        <f>SUM(Table1[[#This Row],[Delivery_Date]]-Table1[[#This Row],[Order_Date]])</f>
        <v>18</v>
      </c>
      <c r="F16" t="s">
        <v>39</v>
      </c>
      <c r="G16" t="s">
        <v>35</v>
      </c>
      <c r="H16">
        <v>5000</v>
      </c>
      <c r="I16" s="4">
        <v>54.5</v>
      </c>
      <c r="J16" s="4">
        <v>48.45</v>
      </c>
      <c r="K16" s="4">
        <f>Table1[[#This Row],[Quantity]]*Table1[[#This Row],[Negotiated_Price]]</f>
        <v>242250</v>
      </c>
      <c r="L16" s="4">
        <f>Table1[[#This Row],[Quantity]]*Table1[[#This Row],[Unit_Price]]</f>
        <v>272500</v>
      </c>
      <c r="M16" s="4">
        <f>Table1[[#This Row],[Unit_Price]]-Table1[[#This Row],[Negotiated_Price]]</f>
        <v>6.0499999999999972</v>
      </c>
      <c r="N16" s="3">
        <f>(Table1[[#This Row],[Unit_Price]]-Table1[[#This Row],[Negotiated_Price]])/Table1[[#This Row],[Unit_Price]]</f>
        <v>0.11100917431192656</v>
      </c>
      <c r="O16">
        <v>22</v>
      </c>
      <c r="P16">
        <v>3</v>
      </c>
      <c r="Q16">
        <f>IF(Table1[[#This Row],[Compliance]]="Yes", 1, 0)</f>
        <v>0</v>
      </c>
    </row>
    <row r="17" spans="1:17" x14ac:dyDescent="0.35">
      <c r="A17" t="s">
        <v>42</v>
      </c>
      <c r="B17" t="s">
        <v>23</v>
      </c>
      <c r="C17" s="1">
        <v>44657</v>
      </c>
      <c r="D17" s="1">
        <v>44672</v>
      </c>
      <c r="E17" s="1">
        <f>SUM(Table1[[#This Row],[Delivery_Date]]-Table1[[#This Row],[Order_Date]])</f>
        <v>15</v>
      </c>
      <c r="F17" t="s">
        <v>24</v>
      </c>
      <c r="G17" t="s">
        <v>18</v>
      </c>
      <c r="H17">
        <v>5000</v>
      </c>
      <c r="I17" s="4">
        <v>15.41</v>
      </c>
      <c r="J17" s="4">
        <v>15.12</v>
      </c>
      <c r="K17" s="4">
        <f>Table1[[#This Row],[Quantity]]*Table1[[#This Row],[Negotiated_Price]]</f>
        <v>75600</v>
      </c>
      <c r="L17" s="4">
        <f>Table1[[#This Row],[Quantity]]*Table1[[#This Row],[Unit_Price]]</f>
        <v>77050</v>
      </c>
      <c r="M17" s="4">
        <f>Table1[[#This Row],[Unit_Price]]-Table1[[#This Row],[Negotiated_Price]]</f>
        <v>0.29000000000000092</v>
      </c>
      <c r="N17" s="3">
        <f>(Table1[[#This Row],[Unit_Price]]-Table1[[#This Row],[Negotiated_Price]])/Table1[[#This Row],[Unit_Price]]</f>
        <v>1.881894873458799E-2</v>
      </c>
      <c r="P17" t="s">
        <v>15</v>
      </c>
      <c r="Q17">
        <f>IF(Table1[[#This Row],[Compliance]]="Yes", 1, 0)</f>
        <v>1</v>
      </c>
    </row>
    <row r="18" spans="1:17" x14ac:dyDescent="0.35">
      <c r="A18" t="s">
        <v>43</v>
      </c>
      <c r="B18" t="s">
        <v>17</v>
      </c>
      <c r="C18" s="1">
        <v>44785</v>
      </c>
      <c r="D18" s="1">
        <v>44804</v>
      </c>
      <c r="E18" s="1">
        <f>SUM(Table1[[#This Row],[Delivery_Date]]-Table1[[#This Row],[Order_Date]])</f>
        <v>19</v>
      </c>
      <c r="F18" t="s">
        <v>21</v>
      </c>
      <c r="G18" t="s">
        <v>18</v>
      </c>
      <c r="H18">
        <v>1173</v>
      </c>
      <c r="I18" s="4">
        <v>61.54</v>
      </c>
      <c r="J18" s="4">
        <v>55.49</v>
      </c>
      <c r="K18" s="4">
        <f>Table1[[#This Row],[Quantity]]*Table1[[#This Row],[Negotiated_Price]]</f>
        <v>65089.770000000004</v>
      </c>
      <c r="L18" s="4">
        <f>Table1[[#This Row],[Quantity]]*Table1[[#This Row],[Unit_Price]]</f>
        <v>72186.42</v>
      </c>
      <c r="M18" s="4">
        <f>Table1[[#This Row],[Unit_Price]]-Table1[[#This Row],[Negotiated_Price]]</f>
        <v>6.0499999999999972</v>
      </c>
      <c r="N18" s="3">
        <f>(Table1[[#This Row],[Unit_Price]]-Table1[[#This Row],[Negotiated_Price]])/Table1[[#This Row],[Unit_Price]]</f>
        <v>9.8310042248943727E-2</v>
      </c>
      <c r="O18">
        <v>172</v>
      </c>
      <c r="P18" t="s">
        <v>27</v>
      </c>
      <c r="Q18">
        <f>IF(Table1[[#This Row],[Compliance]]="Yes", 1, 0)</f>
        <v>0</v>
      </c>
    </row>
    <row r="19" spans="1:17" x14ac:dyDescent="0.35">
      <c r="A19" t="s">
        <v>44</v>
      </c>
      <c r="B19" t="s">
        <v>29</v>
      </c>
      <c r="C19" s="1">
        <v>44800</v>
      </c>
      <c r="D19" s="1">
        <v>44808</v>
      </c>
      <c r="E19" s="1">
        <f>SUM(Table1[[#This Row],[Delivery_Date]]-Table1[[#This Row],[Order_Date]])</f>
        <v>8</v>
      </c>
      <c r="F19" t="s">
        <v>26</v>
      </c>
      <c r="G19" t="s">
        <v>18</v>
      </c>
      <c r="H19">
        <v>921</v>
      </c>
      <c r="I19" s="4">
        <v>51.48</v>
      </c>
      <c r="J19" s="4">
        <v>50.61</v>
      </c>
      <c r="K19" s="4">
        <f>Table1[[#This Row],[Quantity]]*Table1[[#This Row],[Negotiated_Price]]</f>
        <v>46611.81</v>
      </c>
      <c r="L19" s="4">
        <f>Table1[[#This Row],[Quantity]]*Table1[[#This Row],[Unit_Price]]</f>
        <v>47413.079999999994</v>
      </c>
      <c r="M19" s="4">
        <f>Table1[[#This Row],[Unit_Price]]-Table1[[#This Row],[Negotiated_Price]]</f>
        <v>0.86999999999999744</v>
      </c>
      <c r="N19" s="3">
        <f>(Table1[[#This Row],[Unit_Price]]-Table1[[#This Row],[Negotiated_Price]])/Table1[[#This Row],[Unit_Price]]</f>
        <v>1.6899766899766851E-2</v>
      </c>
      <c r="P19" t="s">
        <v>15</v>
      </c>
      <c r="Q19">
        <f>IF(Table1[[#This Row],[Compliance]]="Yes", 1, 0)</f>
        <v>1</v>
      </c>
    </row>
    <row r="20" spans="1:17" x14ac:dyDescent="0.35">
      <c r="A20" t="s">
        <v>45</v>
      </c>
      <c r="B20" t="s">
        <v>20</v>
      </c>
      <c r="C20" s="1">
        <v>45079</v>
      </c>
      <c r="D20" s="1">
        <v>45082</v>
      </c>
      <c r="E20" s="1">
        <f>SUM(Table1[[#This Row],[Delivery_Date]]-Table1[[#This Row],[Order_Date]])</f>
        <v>3</v>
      </c>
      <c r="F20" t="s">
        <v>26</v>
      </c>
      <c r="G20" t="s">
        <v>33</v>
      </c>
      <c r="H20">
        <v>1737</v>
      </c>
      <c r="I20" s="4">
        <v>97.53</v>
      </c>
      <c r="J20" s="4">
        <v>87.37</v>
      </c>
      <c r="K20" s="4">
        <f>Table1[[#This Row],[Quantity]]*Table1[[#This Row],[Negotiated_Price]]</f>
        <v>151761.69</v>
      </c>
      <c r="L20" s="4">
        <f>Table1[[#This Row],[Quantity]]*Table1[[#This Row],[Unit_Price]]</f>
        <v>169409.61000000002</v>
      </c>
      <c r="M20" s="4">
        <f>Table1[[#This Row],[Unit_Price]]-Table1[[#This Row],[Negotiated_Price]]</f>
        <v>10.159999999999997</v>
      </c>
      <c r="N20" s="3">
        <f>(Table1[[#This Row],[Unit_Price]]-Table1[[#This Row],[Negotiated_Price]])/Table1[[#This Row],[Unit_Price]]</f>
        <v>0.104173074951297</v>
      </c>
      <c r="O20">
        <v>79</v>
      </c>
      <c r="P20" t="s">
        <v>15</v>
      </c>
      <c r="Q20">
        <f>IF(Table1[[#This Row],[Compliance]]="Yes", 1, 0)</f>
        <v>1</v>
      </c>
    </row>
    <row r="21" spans="1:17" x14ac:dyDescent="0.35">
      <c r="A21" t="s">
        <v>46</v>
      </c>
      <c r="B21" t="s">
        <v>17</v>
      </c>
      <c r="C21" s="1">
        <v>45178</v>
      </c>
      <c r="D21" s="1">
        <v>45193</v>
      </c>
      <c r="E21" s="1">
        <f>SUM(Table1[[#This Row],[Delivery_Date]]-Table1[[#This Row],[Order_Date]])</f>
        <v>15</v>
      </c>
      <c r="F21" t="s">
        <v>26</v>
      </c>
      <c r="G21" t="s">
        <v>18</v>
      </c>
      <c r="H21">
        <v>180</v>
      </c>
      <c r="I21" s="4">
        <v>45.74</v>
      </c>
      <c r="J21" s="4">
        <v>38.89</v>
      </c>
      <c r="K21" s="4">
        <f>Table1[[#This Row],[Quantity]]*Table1[[#This Row],[Negotiated_Price]]</f>
        <v>7000.2</v>
      </c>
      <c r="L21" s="4">
        <f>Table1[[#This Row],[Quantity]]*Table1[[#This Row],[Unit_Price]]</f>
        <v>8233.2000000000007</v>
      </c>
      <c r="M21" s="4">
        <f>Table1[[#This Row],[Unit_Price]]-Table1[[#This Row],[Negotiated_Price]]</f>
        <v>6.8500000000000014</v>
      </c>
      <c r="N21" s="3">
        <f>(Table1[[#This Row],[Unit_Price]]-Table1[[#This Row],[Negotiated_Price]])/Table1[[#This Row],[Unit_Price]]</f>
        <v>0.14975951027547008</v>
      </c>
      <c r="P21" t="s">
        <v>27</v>
      </c>
      <c r="Q21">
        <f>IF(Table1[[#This Row],[Compliance]]="Yes", 1, 0)</f>
        <v>0</v>
      </c>
    </row>
    <row r="22" spans="1:17" x14ac:dyDescent="0.35">
      <c r="A22" t="s">
        <v>47</v>
      </c>
      <c r="B22" t="s">
        <v>29</v>
      </c>
      <c r="C22" s="1">
        <v>44589</v>
      </c>
      <c r="D22" s="1">
        <v>44604</v>
      </c>
      <c r="E22" s="1">
        <f>SUM(Table1[[#This Row],[Delivery_Date]]-Table1[[#This Row],[Order_Date]])</f>
        <v>15</v>
      </c>
      <c r="F22" t="s">
        <v>39</v>
      </c>
      <c r="G22" t="s">
        <v>14</v>
      </c>
      <c r="H22">
        <v>1735</v>
      </c>
      <c r="I22" s="4">
        <v>20.54</v>
      </c>
      <c r="J22" s="4">
        <v>19.690000000000001</v>
      </c>
      <c r="K22" s="4">
        <f>Table1[[#This Row],[Quantity]]*Table1[[#This Row],[Negotiated_Price]]</f>
        <v>34162.15</v>
      </c>
      <c r="L22" s="4">
        <f>Table1[[#This Row],[Quantity]]*Table1[[#This Row],[Unit_Price]]</f>
        <v>35636.9</v>
      </c>
      <c r="M22" s="4">
        <f>Table1[[#This Row],[Unit_Price]]-Table1[[#This Row],[Negotiated_Price]]</f>
        <v>0.84999999999999787</v>
      </c>
      <c r="N22" s="3">
        <f>(Table1[[#This Row],[Unit_Price]]-Table1[[#This Row],[Negotiated_Price]])/Table1[[#This Row],[Unit_Price]]</f>
        <v>4.1382667964946343E-2</v>
      </c>
      <c r="O22">
        <v>49</v>
      </c>
      <c r="P22" t="s">
        <v>15</v>
      </c>
      <c r="Q22">
        <f>IF(Table1[[#This Row],[Compliance]]="Yes", 1, 0)</f>
        <v>1</v>
      </c>
    </row>
    <row r="23" spans="1:17" x14ac:dyDescent="0.35">
      <c r="A23" t="s">
        <v>48</v>
      </c>
      <c r="B23" t="s">
        <v>17</v>
      </c>
      <c r="C23" s="1">
        <v>45136</v>
      </c>
      <c r="D23" s="1">
        <v>45149</v>
      </c>
      <c r="E23" s="1">
        <f>SUM(Table1[[#This Row],[Delivery_Date]]-Table1[[#This Row],[Order_Date]])</f>
        <v>13</v>
      </c>
      <c r="F23" t="s">
        <v>26</v>
      </c>
      <c r="G23" t="s">
        <v>18</v>
      </c>
      <c r="H23">
        <v>1382</v>
      </c>
      <c r="I23" s="4">
        <v>24.93</v>
      </c>
      <c r="J23" s="4">
        <v>23.75</v>
      </c>
      <c r="K23" s="4">
        <f>Table1[[#This Row],[Quantity]]*Table1[[#This Row],[Negotiated_Price]]</f>
        <v>32822.5</v>
      </c>
      <c r="L23" s="4">
        <f>Table1[[#This Row],[Quantity]]*Table1[[#This Row],[Unit_Price]]</f>
        <v>34453.26</v>
      </c>
      <c r="M23" s="4">
        <f>Table1[[#This Row],[Unit_Price]]-Table1[[#This Row],[Negotiated_Price]]</f>
        <v>1.1799999999999997</v>
      </c>
      <c r="N23" s="3">
        <f>(Table1[[#This Row],[Unit_Price]]-Table1[[#This Row],[Negotiated_Price]])/Table1[[#This Row],[Unit_Price]]</f>
        <v>4.733253108704371E-2</v>
      </c>
      <c r="P23" t="s">
        <v>15</v>
      </c>
      <c r="Q23">
        <f>IF(Table1[[#This Row],[Compliance]]="Yes", 1, 0)</f>
        <v>1</v>
      </c>
    </row>
    <row r="24" spans="1:17" x14ac:dyDescent="0.35">
      <c r="A24" t="s">
        <v>49</v>
      </c>
      <c r="B24" t="s">
        <v>29</v>
      </c>
      <c r="C24" s="1">
        <v>44765</v>
      </c>
      <c r="D24" s="1">
        <v>44781</v>
      </c>
      <c r="E24" s="1">
        <f>SUM(Table1[[#This Row],[Delivery_Date]]-Table1[[#This Row],[Order_Date]])</f>
        <v>16</v>
      </c>
      <c r="F24" t="s">
        <v>21</v>
      </c>
      <c r="G24" t="s">
        <v>18</v>
      </c>
      <c r="H24">
        <v>819</v>
      </c>
      <c r="I24" s="4">
        <v>80.89</v>
      </c>
      <c r="J24" s="4">
        <v>77.03</v>
      </c>
      <c r="K24" s="4">
        <f>Table1[[#This Row],[Quantity]]*Table1[[#This Row],[Negotiated_Price]]</f>
        <v>63087.57</v>
      </c>
      <c r="L24" s="4">
        <f>Table1[[#This Row],[Quantity]]*Table1[[#This Row],[Unit_Price]]</f>
        <v>66248.91</v>
      </c>
      <c r="M24" s="4">
        <f>Table1[[#This Row],[Unit_Price]]-Table1[[#This Row],[Negotiated_Price]]</f>
        <v>3.8599999999999994</v>
      </c>
      <c r="N24" s="3">
        <f>(Table1[[#This Row],[Unit_Price]]-Table1[[#This Row],[Negotiated_Price]])/Table1[[#This Row],[Unit_Price]]</f>
        <v>4.7719124737297558E-2</v>
      </c>
      <c r="O24">
        <v>29</v>
      </c>
      <c r="P24" t="s">
        <v>15</v>
      </c>
      <c r="Q24">
        <f>IF(Table1[[#This Row],[Compliance]]="Yes", 1, 0)</f>
        <v>1</v>
      </c>
    </row>
    <row r="25" spans="1:17" x14ac:dyDescent="0.35">
      <c r="A25" t="s">
        <v>50</v>
      </c>
      <c r="B25" t="s">
        <v>23</v>
      </c>
      <c r="C25" s="1">
        <v>45227</v>
      </c>
      <c r="D25" s="1">
        <v>45233</v>
      </c>
      <c r="E25" s="1">
        <f>SUM(Table1[[#This Row],[Delivery_Date]]-Table1[[#This Row],[Order_Date]])</f>
        <v>6</v>
      </c>
      <c r="F25" t="s">
        <v>13</v>
      </c>
      <c r="G25" t="s">
        <v>33</v>
      </c>
      <c r="H25">
        <v>393</v>
      </c>
      <c r="I25" s="4">
        <v>72.53</v>
      </c>
      <c r="J25" s="4">
        <v>66.31</v>
      </c>
      <c r="K25" s="4">
        <f>Table1[[#This Row],[Quantity]]*Table1[[#This Row],[Negotiated_Price]]</f>
        <v>26059.83</v>
      </c>
      <c r="L25" s="4">
        <f>Table1[[#This Row],[Quantity]]*Table1[[#This Row],[Unit_Price]]</f>
        <v>28504.29</v>
      </c>
      <c r="M25" s="4">
        <f>Table1[[#This Row],[Unit_Price]]-Table1[[#This Row],[Negotiated_Price]]</f>
        <v>6.2199999999999989</v>
      </c>
      <c r="N25" s="3">
        <f>(Table1[[#This Row],[Unit_Price]]-Table1[[#This Row],[Negotiated_Price]])/Table1[[#This Row],[Unit_Price]]</f>
        <v>8.5757617537570649E-2</v>
      </c>
      <c r="O25">
        <v>42</v>
      </c>
      <c r="P25" t="s">
        <v>27</v>
      </c>
      <c r="Q25">
        <f>IF(Table1[[#This Row],[Compliance]]="Yes", 1, 0)</f>
        <v>0</v>
      </c>
    </row>
    <row r="26" spans="1:17" x14ac:dyDescent="0.35">
      <c r="A26" t="s">
        <v>51</v>
      </c>
      <c r="B26" t="s">
        <v>23</v>
      </c>
      <c r="C26" s="1">
        <v>45280</v>
      </c>
      <c r="D26" s="1">
        <v>45292</v>
      </c>
      <c r="E26" s="1">
        <f>SUM(Table1[[#This Row],[Delivery_Date]]-Table1[[#This Row],[Order_Date]])</f>
        <v>12</v>
      </c>
      <c r="F26" t="s">
        <v>21</v>
      </c>
      <c r="G26" t="s">
        <v>18</v>
      </c>
      <c r="H26">
        <v>1565</v>
      </c>
      <c r="I26" s="4">
        <v>21.3</v>
      </c>
      <c r="J26" s="4">
        <v>20.09</v>
      </c>
      <c r="K26" s="4">
        <f>Table1[[#This Row],[Quantity]]*Table1[[#This Row],[Negotiated_Price]]</f>
        <v>31440.85</v>
      </c>
      <c r="L26" s="4">
        <f>Table1[[#This Row],[Quantity]]*Table1[[#This Row],[Unit_Price]]</f>
        <v>33334.5</v>
      </c>
      <c r="M26" s="4">
        <f>Table1[[#This Row],[Unit_Price]]-Table1[[#This Row],[Negotiated_Price]]</f>
        <v>1.2100000000000009</v>
      </c>
      <c r="N26" s="3">
        <f>(Table1[[#This Row],[Unit_Price]]-Table1[[#This Row],[Negotiated_Price]])/Table1[[#This Row],[Unit_Price]]</f>
        <v>5.6807511737089242E-2</v>
      </c>
      <c r="O26">
        <v>161</v>
      </c>
      <c r="P26" t="s">
        <v>15</v>
      </c>
      <c r="Q26">
        <f>IF(Table1[[#This Row],[Compliance]]="Yes", 1, 0)</f>
        <v>1</v>
      </c>
    </row>
    <row r="27" spans="1:17" x14ac:dyDescent="0.35">
      <c r="A27" t="s">
        <v>52</v>
      </c>
      <c r="B27" t="s">
        <v>29</v>
      </c>
      <c r="C27" s="1">
        <v>45120</v>
      </c>
      <c r="D27" s="1">
        <v>45131</v>
      </c>
      <c r="E27" s="1">
        <f>SUM(Table1[[#This Row],[Delivery_Date]]-Table1[[#This Row],[Order_Date]])</f>
        <v>11</v>
      </c>
      <c r="F27" t="s">
        <v>24</v>
      </c>
      <c r="G27" t="s">
        <v>18</v>
      </c>
      <c r="H27">
        <v>1487</v>
      </c>
      <c r="I27" s="4">
        <v>19.149999999999999</v>
      </c>
      <c r="J27" s="4">
        <v>17.239999999999998</v>
      </c>
      <c r="K27" s="4">
        <f>Table1[[#This Row],[Quantity]]*Table1[[#This Row],[Negotiated_Price]]</f>
        <v>25635.879999999997</v>
      </c>
      <c r="L27" s="4">
        <f>Table1[[#This Row],[Quantity]]*Table1[[#This Row],[Unit_Price]]</f>
        <v>28476.05</v>
      </c>
      <c r="M27" s="4">
        <f>Table1[[#This Row],[Unit_Price]]-Table1[[#This Row],[Negotiated_Price]]</f>
        <v>1.9100000000000001</v>
      </c>
      <c r="N27" s="3">
        <f>(Table1[[#This Row],[Unit_Price]]-Table1[[#This Row],[Negotiated_Price]])/Table1[[#This Row],[Unit_Price]]</f>
        <v>9.9738903394255896E-2</v>
      </c>
      <c r="P27" t="s">
        <v>15</v>
      </c>
      <c r="Q27">
        <f>IF(Table1[[#This Row],[Compliance]]="Yes", 1, 0)</f>
        <v>1</v>
      </c>
    </row>
    <row r="28" spans="1:17" x14ac:dyDescent="0.35">
      <c r="A28" t="s">
        <v>53</v>
      </c>
      <c r="B28" t="s">
        <v>12</v>
      </c>
      <c r="C28" s="1">
        <v>44991</v>
      </c>
      <c r="D28" s="1">
        <v>45011</v>
      </c>
      <c r="E28" s="1">
        <f>SUM(Table1[[#This Row],[Delivery_Date]]-Table1[[#This Row],[Order_Date]])</f>
        <v>20</v>
      </c>
      <c r="F28" t="s">
        <v>21</v>
      </c>
      <c r="G28" t="s">
        <v>18</v>
      </c>
      <c r="H28">
        <v>855</v>
      </c>
      <c r="I28" s="4">
        <v>78.2</v>
      </c>
      <c r="J28" s="4">
        <v>67.16</v>
      </c>
      <c r="K28" s="4">
        <f>Table1[[#This Row],[Quantity]]*Table1[[#This Row],[Negotiated_Price]]</f>
        <v>57421.799999999996</v>
      </c>
      <c r="L28" s="4">
        <f>Table1[[#This Row],[Quantity]]*Table1[[#This Row],[Unit_Price]]</f>
        <v>66861</v>
      </c>
      <c r="M28" s="4">
        <f>Table1[[#This Row],[Unit_Price]]-Table1[[#This Row],[Negotiated_Price]]</f>
        <v>11.040000000000006</v>
      </c>
      <c r="N28" s="3">
        <f>(Table1[[#This Row],[Unit_Price]]-Table1[[#This Row],[Negotiated_Price]])/Table1[[#This Row],[Unit_Price]]</f>
        <v>0.14117647058823538</v>
      </c>
      <c r="O28">
        <v>17</v>
      </c>
      <c r="P28" t="s">
        <v>15</v>
      </c>
      <c r="Q28">
        <f>IF(Table1[[#This Row],[Compliance]]="Yes", 1, 0)</f>
        <v>1</v>
      </c>
    </row>
    <row r="29" spans="1:17" x14ac:dyDescent="0.35">
      <c r="A29" t="s">
        <v>54</v>
      </c>
      <c r="B29" t="s">
        <v>29</v>
      </c>
      <c r="C29" s="1">
        <v>44787</v>
      </c>
      <c r="D29" s="1">
        <v>44796</v>
      </c>
      <c r="E29" s="1">
        <f>SUM(Table1[[#This Row],[Delivery_Date]]-Table1[[#This Row],[Order_Date]])</f>
        <v>9</v>
      </c>
      <c r="F29" t="s">
        <v>26</v>
      </c>
      <c r="G29" t="s">
        <v>18</v>
      </c>
      <c r="H29">
        <v>435</v>
      </c>
      <c r="I29" s="4">
        <v>17.13</v>
      </c>
      <c r="J29" s="4">
        <v>15.84</v>
      </c>
      <c r="K29" s="4">
        <f>Table1[[#This Row],[Quantity]]*Table1[[#This Row],[Negotiated_Price]]</f>
        <v>6890.4</v>
      </c>
      <c r="L29" s="4">
        <f>Table1[[#This Row],[Quantity]]*Table1[[#This Row],[Unit_Price]]</f>
        <v>7451.5499999999993</v>
      </c>
      <c r="M29" s="4">
        <f>Table1[[#This Row],[Unit_Price]]-Table1[[#This Row],[Negotiated_Price]]</f>
        <v>1.2899999999999991</v>
      </c>
      <c r="N29" s="3">
        <f>(Table1[[#This Row],[Unit_Price]]-Table1[[#This Row],[Negotiated_Price]])/Table1[[#This Row],[Unit_Price]]</f>
        <v>7.5306479859894873E-2</v>
      </c>
      <c r="O29">
        <v>8</v>
      </c>
      <c r="P29" t="s">
        <v>15</v>
      </c>
      <c r="Q29">
        <f>IF(Table1[[#This Row],[Compliance]]="Yes", 1, 0)</f>
        <v>1</v>
      </c>
    </row>
    <row r="30" spans="1:17" x14ac:dyDescent="0.35">
      <c r="A30" t="s">
        <v>55</v>
      </c>
      <c r="B30" t="s">
        <v>17</v>
      </c>
      <c r="C30" s="1">
        <v>45021</v>
      </c>
      <c r="D30" s="1">
        <v>45038</v>
      </c>
      <c r="E30" s="1">
        <f>SUM(Table1[[#This Row],[Delivery_Date]]-Table1[[#This Row],[Order_Date]])</f>
        <v>17</v>
      </c>
      <c r="F30" t="s">
        <v>21</v>
      </c>
      <c r="G30" t="s">
        <v>18</v>
      </c>
      <c r="H30">
        <v>1265</v>
      </c>
      <c r="I30" s="4">
        <v>90.26</v>
      </c>
      <c r="J30" s="4">
        <v>79.47</v>
      </c>
      <c r="K30" s="4">
        <f>Table1[[#This Row],[Quantity]]*Table1[[#This Row],[Negotiated_Price]]</f>
        <v>100529.55</v>
      </c>
      <c r="L30" s="4">
        <f>Table1[[#This Row],[Quantity]]*Table1[[#This Row],[Unit_Price]]</f>
        <v>114178.90000000001</v>
      </c>
      <c r="M30" s="4">
        <f>Table1[[#This Row],[Unit_Price]]-Table1[[#This Row],[Negotiated_Price]]</f>
        <v>10.790000000000006</v>
      </c>
      <c r="N30" s="3">
        <f>(Table1[[#This Row],[Unit_Price]]-Table1[[#This Row],[Negotiated_Price]])/Table1[[#This Row],[Unit_Price]]</f>
        <v>0.11954354088189681</v>
      </c>
      <c r="O30">
        <v>187</v>
      </c>
      <c r="P30" t="s">
        <v>15</v>
      </c>
      <c r="Q30">
        <f>IF(Table1[[#This Row],[Compliance]]="Yes", 1, 0)</f>
        <v>1</v>
      </c>
    </row>
    <row r="31" spans="1:17" hidden="1" x14ac:dyDescent="0.35">
      <c r="A31" t="s">
        <v>56</v>
      </c>
      <c r="B31" t="s">
        <v>29</v>
      </c>
      <c r="C31" s="1">
        <v>45165</v>
      </c>
      <c r="E31" s="1">
        <f>SUM(Table1[[#This Row],[Delivery_Date]]-Table1[[#This Row],[Order_Date]])</f>
        <v>-45165</v>
      </c>
      <c r="F31" t="s">
        <v>21</v>
      </c>
      <c r="G31" t="s">
        <v>18</v>
      </c>
      <c r="H31">
        <v>1005</v>
      </c>
      <c r="I31">
        <v>80.55</v>
      </c>
      <c r="J31">
        <v>73.31</v>
      </c>
      <c r="K31">
        <f>Table1[[#This Row],[Quantity]]*Table1[[#This Row],[Negotiated_Price]]</f>
        <v>73676.55</v>
      </c>
      <c r="L31" s="5">
        <f>Table1[[#This Row],[Quantity]]*Table1[[#This Row],[Unit_Price]]</f>
        <v>80952.75</v>
      </c>
      <c r="M31">
        <f>Table1[[#This Row],[Unit_Price]]-Table1[[#This Row],[Negotiated_Price]]</f>
        <v>7.2399999999999949</v>
      </c>
      <c r="N31" s="2">
        <f>(Table1[[#This Row],[Unit_Price]]-Table1[[#This Row],[Negotiated_Price]])/Table1[[#This Row],[Unit_Price]]</f>
        <v>8.9882060831781435E-2</v>
      </c>
      <c r="O31">
        <v>30</v>
      </c>
      <c r="P31" t="s">
        <v>15</v>
      </c>
      <c r="Q31">
        <f>IF(Table1[[#This Row],[Compliance]]="Yes", 1, 0)</f>
        <v>1</v>
      </c>
    </row>
    <row r="32" spans="1:17" x14ac:dyDescent="0.35">
      <c r="A32" t="s">
        <v>57</v>
      </c>
      <c r="B32" t="s">
        <v>20</v>
      </c>
      <c r="C32" s="1">
        <v>44846</v>
      </c>
      <c r="D32" s="1">
        <v>44860</v>
      </c>
      <c r="E32" s="1">
        <f>SUM(Table1[[#This Row],[Delivery_Date]]-Table1[[#This Row],[Order_Date]])</f>
        <v>14</v>
      </c>
      <c r="F32" t="s">
        <v>39</v>
      </c>
      <c r="G32" t="s">
        <v>18</v>
      </c>
      <c r="H32">
        <v>326</v>
      </c>
      <c r="I32" s="4">
        <v>18.100000000000001</v>
      </c>
      <c r="J32" s="4">
        <v>15.92</v>
      </c>
      <c r="K32" s="4">
        <f>Table1[[#This Row],[Quantity]]*Table1[[#This Row],[Negotiated_Price]]</f>
        <v>5189.92</v>
      </c>
      <c r="L32" s="4">
        <f>Table1[[#This Row],[Quantity]]*Table1[[#This Row],[Unit_Price]]</f>
        <v>5900.6</v>
      </c>
      <c r="M32" s="4">
        <f>Table1[[#This Row],[Unit_Price]]-Table1[[#This Row],[Negotiated_Price]]</f>
        <v>2.1800000000000015</v>
      </c>
      <c r="N32" s="3">
        <f>(Table1[[#This Row],[Unit_Price]]-Table1[[#This Row],[Negotiated_Price]])/Table1[[#This Row],[Unit_Price]]</f>
        <v>0.12044198895027632</v>
      </c>
      <c r="P32" t="s">
        <v>27</v>
      </c>
      <c r="Q32">
        <f>IF(Table1[[#This Row],[Compliance]]="Yes", 1, 0)</f>
        <v>0</v>
      </c>
    </row>
    <row r="33" spans="1:17" x14ac:dyDescent="0.35">
      <c r="A33" t="s">
        <v>58</v>
      </c>
      <c r="B33" t="s">
        <v>12</v>
      </c>
      <c r="C33" s="1">
        <v>44568</v>
      </c>
      <c r="D33" s="1">
        <v>44576</v>
      </c>
      <c r="E33" s="1">
        <f>SUM(Table1[[#This Row],[Delivery_Date]]-Table1[[#This Row],[Order_Date]])</f>
        <v>8</v>
      </c>
      <c r="F33" t="s">
        <v>13</v>
      </c>
      <c r="G33" t="s">
        <v>18</v>
      </c>
      <c r="H33">
        <v>1234</v>
      </c>
      <c r="I33" s="4">
        <v>17.64</v>
      </c>
      <c r="J33" s="4">
        <v>15.66</v>
      </c>
      <c r="K33" s="4">
        <f>Table1[[#This Row],[Quantity]]*Table1[[#This Row],[Negotiated_Price]]</f>
        <v>19324.439999999999</v>
      </c>
      <c r="L33" s="4">
        <f>Table1[[#This Row],[Quantity]]*Table1[[#This Row],[Unit_Price]]</f>
        <v>21767.760000000002</v>
      </c>
      <c r="M33" s="4">
        <f>Table1[[#This Row],[Unit_Price]]-Table1[[#This Row],[Negotiated_Price]]</f>
        <v>1.9800000000000004</v>
      </c>
      <c r="N33" s="3">
        <f>(Table1[[#This Row],[Unit_Price]]-Table1[[#This Row],[Negotiated_Price]])/Table1[[#This Row],[Unit_Price]]</f>
        <v>0.1122448979591837</v>
      </c>
      <c r="O33">
        <v>26</v>
      </c>
      <c r="P33" t="s">
        <v>15</v>
      </c>
      <c r="Q33">
        <f>IF(Table1[[#This Row],[Compliance]]="Yes", 1, 0)</f>
        <v>1</v>
      </c>
    </row>
    <row r="34" spans="1:17" x14ac:dyDescent="0.35">
      <c r="A34" t="s">
        <v>59</v>
      </c>
      <c r="B34" t="s">
        <v>29</v>
      </c>
      <c r="C34" s="1">
        <v>44725</v>
      </c>
      <c r="D34" s="1">
        <v>44741</v>
      </c>
      <c r="E34" s="1">
        <f>SUM(Table1[[#This Row],[Delivery_Date]]-Table1[[#This Row],[Order_Date]])</f>
        <v>16</v>
      </c>
      <c r="F34" t="s">
        <v>21</v>
      </c>
      <c r="G34" t="s">
        <v>18</v>
      </c>
      <c r="H34">
        <v>509</v>
      </c>
      <c r="I34" s="4">
        <v>101.27</v>
      </c>
      <c r="J34" s="4">
        <v>97.82</v>
      </c>
      <c r="K34" s="4">
        <f>Table1[[#This Row],[Quantity]]*Table1[[#This Row],[Negotiated_Price]]</f>
        <v>49790.38</v>
      </c>
      <c r="L34" s="4">
        <f>Table1[[#This Row],[Quantity]]*Table1[[#This Row],[Unit_Price]]</f>
        <v>51546.43</v>
      </c>
      <c r="M34" s="4">
        <f>Table1[[#This Row],[Unit_Price]]-Table1[[#This Row],[Negotiated_Price]]</f>
        <v>3.4500000000000028</v>
      </c>
      <c r="N34" s="3">
        <f>(Table1[[#This Row],[Unit_Price]]-Table1[[#This Row],[Negotiated_Price]])/Table1[[#This Row],[Unit_Price]]</f>
        <v>3.4067344722030247E-2</v>
      </c>
      <c r="O34">
        <v>19</v>
      </c>
      <c r="P34" t="s">
        <v>15</v>
      </c>
      <c r="Q34">
        <f>IF(Table1[[#This Row],[Compliance]]="Yes", 1, 0)</f>
        <v>1</v>
      </c>
    </row>
    <row r="35" spans="1:17" x14ac:dyDescent="0.35">
      <c r="A35" t="s">
        <v>60</v>
      </c>
      <c r="B35" t="s">
        <v>12</v>
      </c>
      <c r="C35" s="1">
        <v>45276</v>
      </c>
      <c r="D35" s="1">
        <v>45277</v>
      </c>
      <c r="E35" s="1">
        <f>SUM(Table1[[#This Row],[Delivery_Date]]-Table1[[#This Row],[Order_Date]])</f>
        <v>1</v>
      </c>
      <c r="F35" t="s">
        <v>24</v>
      </c>
      <c r="G35" t="s">
        <v>18</v>
      </c>
      <c r="H35">
        <v>1387</v>
      </c>
      <c r="I35" s="4">
        <v>48.71</v>
      </c>
      <c r="J35" s="4">
        <v>43.71</v>
      </c>
      <c r="K35" s="4">
        <f>Table1[[#This Row],[Quantity]]*Table1[[#This Row],[Negotiated_Price]]</f>
        <v>60625.770000000004</v>
      </c>
      <c r="L35" s="4">
        <f>Table1[[#This Row],[Quantity]]*Table1[[#This Row],[Unit_Price]]</f>
        <v>67560.77</v>
      </c>
      <c r="M35" s="4">
        <f>Table1[[#This Row],[Unit_Price]]-Table1[[#This Row],[Negotiated_Price]]</f>
        <v>5</v>
      </c>
      <c r="N35" s="3">
        <f>(Table1[[#This Row],[Unit_Price]]-Table1[[#This Row],[Negotiated_Price]])/Table1[[#This Row],[Unit_Price]]</f>
        <v>0.10264832683227264</v>
      </c>
      <c r="O35">
        <v>27</v>
      </c>
      <c r="P35" t="s">
        <v>15</v>
      </c>
      <c r="Q35">
        <f>IF(Table1[[#This Row],[Compliance]]="Yes", 1, 0)</f>
        <v>1</v>
      </c>
    </row>
    <row r="36" spans="1:17" x14ac:dyDescent="0.35">
      <c r="A36" t="s">
        <v>61</v>
      </c>
      <c r="B36" t="s">
        <v>12</v>
      </c>
      <c r="C36" s="1">
        <v>44994</v>
      </c>
      <c r="D36" s="1">
        <v>45002</v>
      </c>
      <c r="E36" s="1">
        <f>SUM(Table1[[#This Row],[Delivery_Date]]-Table1[[#This Row],[Order_Date]])</f>
        <v>8</v>
      </c>
      <c r="F36" t="s">
        <v>21</v>
      </c>
      <c r="G36" t="s">
        <v>18</v>
      </c>
      <c r="H36">
        <v>71</v>
      </c>
      <c r="I36" s="4">
        <v>46.39</v>
      </c>
      <c r="J36" s="4">
        <v>43.18</v>
      </c>
      <c r="K36" s="4">
        <f>Table1[[#This Row],[Quantity]]*Table1[[#This Row],[Negotiated_Price]]</f>
        <v>3065.78</v>
      </c>
      <c r="L36" s="4">
        <f>Table1[[#This Row],[Quantity]]*Table1[[#This Row],[Unit_Price]]</f>
        <v>3293.69</v>
      </c>
      <c r="M36" s="4">
        <f>Table1[[#This Row],[Unit_Price]]-Table1[[#This Row],[Negotiated_Price]]</f>
        <v>3.2100000000000009</v>
      </c>
      <c r="N36" s="3">
        <f>(Table1[[#This Row],[Unit_Price]]-Table1[[#This Row],[Negotiated_Price]])/Table1[[#This Row],[Unit_Price]]</f>
        <v>6.919594740245745E-2</v>
      </c>
      <c r="O36">
        <v>0</v>
      </c>
      <c r="P36" t="s">
        <v>15</v>
      </c>
      <c r="Q36">
        <f>IF(Table1[[#This Row],[Compliance]]="Yes", 1, 0)</f>
        <v>1</v>
      </c>
    </row>
    <row r="37" spans="1:17" x14ac:dyDescent="0.35">
      <c r="A37" t="s">
        <v>62</v>
      </c>
      <c r="B37" t="s">
        <v>29</v>
      </c>
      <c r="C37" s="1">
        <v>44910</v>
      </c>
      <c r="D37" s="1">
        <v>44918</v>
      </c>
      <c r="E37" s="1">
        <f>SUM(Table1[[#This Row],[Delivery_Date]]-Table1[[#This Row],[Order_Date]])</f>
        <v>8</v>
      </c>
      <c r="F37" t="s">
        <v>13</v>
      </c>
      <c r="G37" t="s">
        <v>18</v>
      </c>
      <c r="H37">
        <v>302</v>
      </c>
      <c r="I37" s="4">
        <v>87.73</v>
      </c>
      <c r="J37" s="4">
        <v>81.52</v>
      </c>
      <c r="K37" s="4">
        <f>Table1[[#This Row],[Quantity]]*Table1[[#This Row],[Negotiated_Price]]</f>
        <v>24619.039999999997</v>
      </c>
      <c r="L37" s="4">
        <f>Table1[[#This Row],[Quantity]]*Table1[[#This Row],[Unit_Price]]</f>
        <v>26494.460000000003</v>
      </c>
      <c r="M37" s="4">
        <f>Table1[[#This Row],[Unit_Price]]-Table1[[#This Row],[Negotiated_Price]]</f>
        <v>6.210000000000008</v>
      </c>
      <c r="N37" s="3">
        <f>(Table1[[#This Row],[Unit_Price]]-Table1[[#This Row],[Negotiated_Price]])/Table1[[#This Row],[Unit_Price]]</f>
        <v>7.0785364185569452E-2</v>
      </c>
      <c r="O37">
        <v>9</v>
      </c>
      <c r="P37" t="s">
        <v>15</v>
      </c>
      <c r="Q37">
        <f>IF(Table1[[#This Row],[Compliance]]="Yes", 1, 0)</f>
        <v>1</v>
      </c>
    </row>
    <row r="38" spans="1:17" x14ac:dyDescent="0.35">
      <c r="A38" t="s">
        <v>63</v>
      </c>
      <c r="B38" t="s">
        <v>29</v>
      </c>
      <c r="C38" s="1">
        <v>44846</v>
      </c>
      <c r="D38" s="1">
        <v>44865</v>
      </c>
      <c r="E38" s="1">
        <f>SUM(Table1[[#This Row],[Delivery_Date]]-Table1[[#This Row],[Order_Date]])</f>
        <v>19</v>
      </c>
      <c r="F38" t="s">
        <v>13</v>
      </c>
      <c r="G38" t="s">
        <v>35</v>
      </c>
      <c r="H38">
        <v>797</v>
      </c>
      <c r="I38" s="4">
        <v>99.54</v>
      </c>
      <c r="J38" s="4">
        <v>91.37</v>
      </c>
      <c r="K38" s="4">
        <f>Table1[[#This Row],[Quantity]]*Table1[[#This Row],[Negotiated_Price]]</f>
        <v>72821.89</v>
      </c>
      <c r="L38" s="4">
        <f>Table1[[#This Row],[Quantity]]*Table1[[#This Row],[Unit_Price]]</f>
        <v>79333.38</v>
      </c>
      <c r="M38" s="4">
        <f>Table1[[#This Row],[Unit_Price]]-Table1[[#This Row],[Negotiated_Price]]</f>
        <v>8.1700000000000017</v>
      </c>
      <c r="N38" s="3">
        <f>(Table1[[#This Row],[Unit_Price]]-Table1[[#This Row],[Negotiated_Price]])/Table1[[#This Row],[Unit_Price]]</f>
        <v>8.2077556761101081E-2</v>
      </c>
      <c r="O38">
        <v>18</v>
      </c>
      <c r="P38" t="s">
        <v>15</v>
      </c>
      <c r="Q38">
        <f>IF(Table1[[#This Row],[Compliance]]="Yes", 1, 0)</f>
        <v>1</v>
      </c>
    </row>
    <row r="39" spans="1:17" x14ac:dyDescent="0.35">
      <c r="A39" t="s">
        <v>64</v>
      </c>
      <c r="B39" t="s">
        <v>23</v>
      </c>
      <c r="C39" s="1">
        <v>44721</v>
      </c>
      <c r="D39" s="1">
        <v>44739</v>
      </c>
      <c r="E39" s="1">
        <f>SUM(Table1[[#This Row],[Delivery_Date]]-Table1[[#This Row],[Order_Date]])</f>
        <v>18</v>
      </c>
      <c r="F39" t="s">
        <v>13</v>
      </c>
      <c r="G39" t="s">
        <v>35</v>
      </c>
      <c r="H39">
        <v>906</v>
      </c>
      <c r="I39" s="4">
        <v>101.21</v>
      </c>
      <c r="J39" s="4">
        <v>90.9</v>
      </c>
      <c r="K39" s="4">
        <f>Table1[[#This Row],[Quantity]]*Table1[[#This Row],[Negotiated_Price]]</f>
        <v>82355.400000000009</v>
      </c>
      <c r="L39" s="4">
        <f>Table1[[#This Row],[Quantity]]*Table1[[#This Row],[Unit_Price]]</f>
        <v>91696.26</v>
      </c>
      <c r="M39" s="4">
        <f>Table1[[#This Row],[Unit_Price]]-Table1[[#This Row],[Negotiated_Price]]</f>
        <v>10.309999999999988</v>
      </c>
      <c r="N39" s="3">
        <f>(Table1[[#This Row],[Unit_Price]]-Table1[[#This Row],[Negotiated_Price]])/Table1[[#This Row],[Unit_Price]]</f>
        <v>0.10186740440667907</v>
      </c>
      <c r="O39">
        <v>94</v>
      </c>
      <c r="P39" t="s">
        <v>15</v>
      </c>
      <c r="Q39">
        <f>IF(Table1[[#This Row],[Compliance]]="Yes", 1, 0)</f>
        <v>1</v>
      </c>
    </row>
    <row r="40" spans="1:17" x14ac:dyDescent="0.35">
      <c r="A40" t="s">
        <v>65</v>
      </c>
      <c r="B40" t="s">
        <v>29</v>
      </c>
      <c r="C40" s="1">
        <v>44782</v>
      </c>
      <c r="D40" s="1">
        <v>44796</v>
      </c>
      <c r="E40" s="1">
        <f>SUM(Table1[[#This Row],[Delivery_Date]]-Table1[[#This Row],[Order_Date]])</f>
        <v>14</v>
      </c>
      <c r="F40" t="s">
        <v>13</v>
      </c>
      <c r="G40" t="s">
        <v>18</v>
      </c>
      <c r="H40">
        <v>1634</v>
      </c>
      <c r="I40" s="4">
        <v>80.53</v>
      </c>
      <c r="J40" s="4">
        <v>76.150000000000006</v>
      </c>
      <c r="K40" s="4">
        <f>Table1[[#This Row],[Quantity]]*Table1[[#This Row],[Negotiated_Price]]</f>
        <v>124429.1</v>
      </c>
      <c r="L40" s="4">
        <f>Table1[[#This Row],[Quantity]]*Table1[[#This Row],[Unit_Price]]</f>
        <v>131586.01999999999</v>
      </c>
      <c r="M40" s="4">
        <f>Table1[[#This Row],[Unit_Price]]-Table1[[#This Row],[Negotiated_Price]]</f>
        <v>4.3799999999999955</v>
      </c>
      <c r="N40" s="3">
        <f>(Table1[[#This Row],[Unit_Price]]-Table1[[#This Row],[Negotiated_Price]])/Table1[[#This Row],[Unit_Price]]</f>
        <v>5.4389668446541604E-2</v>
      </c>
      <c r="O40">
        <v>50</v>
      </c>
      <c r="P40" t="s">
        <v>15</v>
      </c>
      <c r="Q40">
        <f>IF(Table1[[#This Row],[Compliance]]="Yes", 1, 0)</f>
        <v>1</v>
      </c>
    </row>
    <row r="41" spans="1:17" hidden="1" x14ac:dyDescent="0.35">
      <c r="A41" t="s">
        <v>66</v>
      </c>
      <c r="B41" t="s">
        <v>29</v>
      </c>
      <c r="C41" s="1">
        <v>44906</v>
      </c>
      <c r="E41" s="1">
        <f>SUM(Table1[[#This Row],[Delivery_Date]]-Table1[[#This Row],[Order_Date]])</f>
        <v>-44906</v>
      </c>
      <c r="F41" t="s">
        <v>13</v>
      </c>
      <c r="G41" t="s">
        <v>18</v>
      </c>
      <c r="H41">
        <v>524</v>
      </c>
      <c r="I41">
        <v>46.28</v>
      </c>
      <c r="J41">
        <v>39.65</v>
      </c>
      <c r="K41">
        <f>Table1[[#This Row],[Quantity]]*Table1[[#This Row],[Negotiated_Price]]</f>
        <v>20776.599999999999</v>
      </c>
      <c r="L41" s="5">
        <f>Table1[[#This Row],[Quantity]]*Table1[[#This Row],[Unit_Price]]</f>
        <v>24250.720000000001</v>
      </c>
      <c r="M41">
        <f>Table1[[#This Row],[Unit_Price]]-Table1[[#This Row],[Negotiated_Price]]</f>
        <v>6.6300000000000026</v>
      </c>
      <c r="N41" s="2">
        <f>(Table1[[#This Row],[Unit_Price]]-Table1[[#This Row],[Negotiated_Price]])/Table1[[#This Row],[Unit_Price]]</f>
        <v>0.14325842696629218</v>
      </c>
      <c r="O41">
        <v>14</v>
      </c>
      <c r="P41" t="s">
        <v>15</v>
      </c>
      <c r="Q41">
        <f>IF(Table1[[#This Row],[Compliance]]="Yes", 1, 0)</f>
        <v>1</v>
      </c>
    </row>
    <row r="42" spans="1:17" x14ac:dyDescent="0.35">
      <c r="A42" t="s">
        <v>67</v>
      </c>
      <c r="B42" t="s">
        <v>23</v>
      </c>
      <c r="C42" s="1">
        <v>44666</v>
      </c>
      <c r="D42" s="1">
        <v>44678</v>
      </c>
      <c r="E42" s="1">
        <f>SUM(Table1[[#This Row],[Delivery_Date]]-Table1[[#This Row],[Order_Date]])</f>
        <v>12</v>
      </c>
      <c r="F42" t="s">
        <v>39</v>
      </c>
      <c r="G42" t="s">
        <v>18</v>
      </c>
      <c r="H42">
        <v>1132</v>
      </c>
      <c r="I42" s="4">
        <v>17.78</v>
      </c>
      <c r="J42" s="4">
        <v>15.36</v>
      </c>
      <c r="K42" s="4">
        <f>Table1[[#This Row],[Quantity]]*Table1[[#This Row],[Negotiated_Price]]</f>
        <v>17387.52</v>
      </c>
      <c r="L42" s="4">
        <f>Table1[[#This Row],[Quantity]]*Table1[[#This Row],[Unit_Price]]</f>
        <v>20126.960000000003</v>
      </c>
      <c r="M42" s="4">
        <f>Table1[[#This Row],[Unit_Price]]-Table1[[#This Row],[Negotiated_Price]]</f>
        <v>2.4200000000000017</v>
      </c>
      <c r="N42" s="3">
        <f>(Table1[[#This Row],[Unit_Price]]-Table1[[#This Row],[Negotiated_Price]])/Table1[[#This Row],[Unit_Price]]</f>
        <v>0.13610798650168737</v>
      </c>
      <c r="O42">
        <v>96</v>
      </c>
      <c r="P42" t="s">
        <v>15</v>
      </c>
      <c r="Q42">
        <f>IF(Table1[[#This Row],[Compliance]]="Yes", 1, 0)</f>
        <v>1</v>
      </c>
    </row>
    <row r="43" spans="1:17" x14ac:dyDescent="0.35">
      <c r="A43" t="s">
        <v>68</v>
      </c>
      <c r="B43" t="s">
        <v>23</v>
      </c>
      <c r="C43" s="1">
        <v>44656</v>
      </c>
      <c r="D43" s="1">
        <v>44665</v>
      </c>
      <c r="E43" s="1">
        <f>SUM(Table1[[#This Row],[Delivery_Date]]-Table1[[#This Row],[Order_Date]])</f>
        <v>9</v>
      </c>
      <c r="F43" t="s">
        <v>13</v>
      </c>
      <c r="G43" t="s">
        <v>18</v>
      </c>
      <c r="H43">
        <v>560</v>
      </c>
      <c r="I43" s="4">
        <v>81.14</v>
      </c>
      <c r="J43" s="4">
        <v>77.87</v>
      </c>
      <c r="K43" s="4">
        <f>Table1[[#This Row],[Quantity]]*Table1[[#This Row],[Negotiated_Price]]</f>
        <v>43607.200000000004</v>
      </c>
      <c r="L43" s="4">
        <f>Table1[[#This Row],[Quantity]]*Table1[[#This Row],[Unit_Price]]</f>
        <v>45438.400000000001</v>
      </c>
      <c r="M43" s="4">
        <f>Table1[[#This Row],[Unit_Price]]-Table1[[#This Row],[Negotiated_Price]]</f>
        <v>3.269999999999996</v>
      </c>
      <c r="N43" s="3">
        <f>(Table1[[#This Row],[Unit_Price]]-Table1[[#This Row],[Negotiated_Price]])/Table1[[#This Row],[Unit_Price]]</f>
        <v>4.030071481390185E-2</v>
      </c>
      <c r="O43">
        <v>34</v>
      </c>
      <c r="P43" t="s">
        <v>27</v>
      </c>
      <c r="Q43">
        <f>IF(Table1[[#This Row],[Compliance]]="Yes", 1, 0)</f>
        <v>0</v>
      </c>
    </row>
    <row r="44" spans="1:17" x14ac:dyDescent="0.35">
      <c r="A44" t="s">
        <v>69</v>
      </c>
      <c r="B44" t="s">
        <v>20</v>
      </c>
      <c r="C44" s="1">
        <v>44951</v>
      </c>
      <c r="D44" s="1">
        <v>44959</v>
      </c>
      <c r="E44" s="1">
        <f>SUM(Table1[[#This Row],[Delivery_Date]]-Table1[[#This Row],[Order_Date]])</f>
        <v>8</v>
      </c>
      <c r="F44" t="s">
        <v>39</v>
      </c>
      <c r="G44" t="s">
        <v>18</v>
      </c>
      <c r="H44">
        <v>1755</v>
      </c>
      <c r="I44" s="4">
        <v>63.87</v>
      </c>
      <c r="J44" s="4">
        <v>58.4</v>
      </c>
      <c r="K44" s="4">
        <f>Table1[[#This Row],[Quantity]]*Table1[[#This Row],[Negotiated_Price]]</f>
        <v>102492</v>
      </c>
      <c r="L44" s="4">
        <f>Table1[[#This Row],[Quantity]]*Table1[[#This Row],[Unit_Price]]</f>
        <v>112091.84999999999</v>
      </c>
      <c r="M44" s="4">
        <f>Table1[[#This Row],[Unit_Price]]-Table1[[#This Row],[Negotiated_Price]]</f>
        <v>5.4699999999999989</v>
      </c>
      <c r="N44" s="3">
        <f>(Table1[[#This Row],[Unit_Price]]-Table1[[#This Row],[Negotiated_Price]])/Table1[[#This Row],[Unit_Price]]</f>
        <v>8.5642711758258952E-2</v>
      </c>
      <c r="O44">
        <v>85</v>
      </c>
      <c r="P44" t="s">
        <v>15</v>
      </c>
      <c r="Q44">
        <f>IF(Table1[[#This Row],[Compliance]]="Yes", 1, 0)</f>
        <v>1</v>
      </c>
    </row>
    <row r="45" spans="1:17" x14ac:dyDescent="0.35">
      <c r="A45" t="s">
        <v>70</v>
      </c>
      <c r="B45" t="s">
        <v>29</v>
      </c>
      <c r="C45" s="1">
        <v>44661</v>
      </c>
      <c r="D45" s="1">
        <v>44668</v>
      </c>
      <c r="E45" s="1">
        <f>SUM(Table1[[#This Row],[Delivery_Date]]-Table1[[#This Row],[Order_Date]])</f>
        <v>7</v>
      </c>
      <c r="F45" t="s">
        <v>21</v>
      </c>
      <c r="G45" t="s">
        <v>18</v>
      </c>
      <c r="H45">
        <v>1549</v>
      </c>
      <c r="I45" s="4">
        <v>48.9</v>
      </c>
      <c r="J45" s="4">
        <v>42.42</v>
      </c>
      <c r="K45" s="4">
        <f>Table1[[#This Row],[Quantity]]*Table1[[#This Row],[Negotiated_Price]]</f>
        <v>65708.58</v>
      </c>
      <c r="L45" s="4">
        <f>Table1[[#This Row],[Quantity]]*Table1[[#This Row],[Unit_Price]]</f>
        <v>75746.099999999991</v>
      </c>
      <c r="M45" s="4">
        <f>Table1[[#This Row],[Unit_Price]]-Table1[[#This Row],[Negotiated_Price]]</f>
        <v>6.4799999999999969</v>
      </c>
      <c r="N45" s="3">
        <f>(Table1[[#This Row],[Unit_Price]]-Table1[[#This Row],[Negotiated_Price]])/Table1[[#This Row],[Unit_Price]]</f>
        <v>0.13251533742331281</v>
      </c>
      <c r="O45">
        <v>48</v>
      </c>
      <c r="P45" t="s">
        <v>15</v>
      </c>
      <c r="Q45">
        <f>IF(Table1[[#This Row],[Compliance]]="Yes", 1, 0)</f>
        <v>1</v>
      </c>
    </row>
    <row r="46" spans="1:17" x14ac:dyDescent="0.35">
      <c r="A46" t="s">
        <v>71</v>
      </c>
      <c r="B46" t="s">
        <v>17</v>
      </c>
      <c r="C46" s="1">
        <v>44929</v>
      </c>
      <c r="D46" s="1">
        <v>44947</v>
      </c>
      <c r="E46" s="1">
        <f>SUM(Table1[[#This Row],[Delivery_Date]]-Table1[[#This Row],[Order_Date]])</f>
        <v>18</v>
      </c>
      <c r="F46" t="s">
        <v>21</v>
      </c>
      <c r="G46" t="s">
        <v>18</v>
      </c>
      <c r="H46">
        <v>749</v>
      </c>
      <c r="I46" s="4">
        <v>97.07</v>
      </c>
      <c r="J46" s="4">
        <v>94.16</v>
      </c>
      <c r="K46" s="4">
        <f>Table1[[#This Row],[Quantity]]*Table1[[#This Row],[Negotiated_Price]]</f>
        <v>70525.84</v>
      </c>
      <c r="L46" s="4">
        <f>Table1[[#This Row],[Quantity]]*Table1[[#This Row],[Unit_Price]]</f>
        <v>72705.429999999993</v>
      </c>
      <c r="M46" s="4">
        <f>Table1[[#This Row],[Unit_Price]]-Table1[[#This Row],[Negotiated_Price]]</f>
        <v>2.9099999999999966</v>
      </c>
      <c r="N46" s="3">
        <f>(Table1[[#This Row],[Unit_Price]]-Table1[[#This Row],[Negotiated_Price]])/Table1[[#This Row],[Unit_Price]]</f>
        <v>2.9978366127536796E-2</v>
      </c>
      <c r="O46">
        <v>123</v>
      </c>
      <c r="P46" t="s">
        <v>15</v>
      </c>
      <c r="Q46">
        <f>IF(Table1[[#This Row],[Compliance]]="Yes", 1, 0)</f>
        <v>1</v>
      </c>
    </row>
    <row r="47" spans="1:17" hidden="1" x14ac:dyDescent="0.35">
      <c r="A47" t="s">
        <v>72</v>
      </c>
      <c r="B47" t="s">
        <v>12</v>
      </c>
      <c r="C47" s="1">
        <v>44914</v>
      </c>
      <c r="E47" s="1">
        <f>SUM(Table1[[#This Row],[Delivery_Date]]-Table1[[#This Row],[Order_Date]])</f>
        <v>-44914</v>
      </c>
      <c r="F47" t="s">
        <v>39</v>
      </c>
      <c r="G47" t="s">
        <v>18</v>
      </c>
      <c r="H47">
        <v>1025</v>
      </c>
      <c r="I47">
        <v>21.11</v>
      </c>
      <c r="J47">
        <v>19.25</v>
      </c>
      <c r="K47">
        <f>Table1[[#This Row],[Quantity]]*Table1[[#This Row],[Negotiated_Price]]</f>
        <v>19731.25</v>
      </c>
      <c r="L47" s="5">
        <f>Table1[[#This Row],[Quantity]]*Table1[[#This Row],[Unit_Price]]</f>
        <v>21637.75</v>
      </c>
      <c r="M47">
        <f>Table1[[#This Row],[Unit_Price]]-Table1[[#This Row],[Negotiated_Price]]</f>
        <v>1.8599999999999994</v>
      </c>
      <c r="N47" s="2">
        <f>(Table1[[#This Row],[Unit_Price]]-Table1[[#This Row],[Negotiated_Price]])/Table1[[#This Row],[Unit_Price]]</f>
        <v>8.8109900521080031E-2</v>
      </c>
      <c r="O47">
        <v>15</v>
      </c>
      <c r="P47" t="s">
        <v>15</v>
      </c>
      <c r="Q47">
        <f>IF(Table1[[#This Row],[Compliance]]="Yes", 1, 0)</f>
        <v>1</v>
      </c>
    </row>
    <row r="48" spans="1:17" x14ac:dyDescent="0.35">
      <c r="A48" t="s">
        <v>73</v>
      </c>
      <c r="B48" t="s">
        <v>23</v>
      </c>
      <c r="C48" s="1">
        <v>45180</v>
      </c>
      <c r="D48" s="1">
        <v>45187</v>
      </c>
      <c r="E48" s="1">
        <f>SUM(Table1[[#This Row],[Delivery_Date]]-Table1[[#This Row],[Order_Date]])</f>
        <v>7</v>
      </c>
      <c r="F48" t="s">
        <v>26</v>
      </c>
      <c r="G48" t="s">
        <v>18</v>
      </c>
      <c r="H48">
        <v>1856</v>
      </c>
      <c r="I48" s="4">
        <v>59.77</v>
      </c>
      <c r="J48" s="4">
        <v>50.81</v>
      </c>
      <c r="K48" s="4">
        <f>Table1[[#This Row],[Quantity]]*Table1[[#This Row],[Negotiated_Price]]</f>
        <v>94303.360000000001</v>
      </c>
      <c r="L48" s="4">
        <f>Table1[[#This Row],[Quantity]]*Table1[[#This Row],[Unit_Price]]</f>
        <v>110933.12000000001</v>
      </c>
      <c r="M48" s="4">
        <f>Table1[[#This Row],[Unit_Price]]-Table1[[#This Row],[Negotiated_Price]]</f>
        <v>8.9600000000000009</v>
      </c>
      <c r="N48" s="3">
        <f>(Table1[[#This Row],[Unit_Price]]-Table1[[#This Row],[Negotiated_Price]])/Table1[[#This Row],[Unit_Price]]</f>
        <v>0.14990798059227037</v>
      </c>
      <c r="O48">
        <v>191</v>
      </c>
      <c r="P48" t="s">
        <v>15</v>
      </c>
      <c r="Q48">
        <f>IF(Table1[[#This Row],[Compliance]]="Yes", 1, 0)</f>
        <v>1</v>
      </c>
    </row>
    <row r="49" spans="1:17" x14ac:dyDescent="0.35">
      <c r="A49" t="s">
        <v>74</v>
      </c>
      <c r="B49" t="s">
        <v>29</v>
      </c>
      <c r="C49" s="1">
        <v>44832</v>
      </c>
      <c r="D49" s="1">
        <v>44848</v>
      </c>
      <c r="E49" s="1">
        <f>SUM(Table1[[#This Row],[Delivery_Date]]-Table1[[#This Row],[Order_Date]])</f>
        <v>16</v>
      </c>
      <c r="F49" t="s">
        <v>13</v>
      </c>
      <c r="G49" t="s">
        <v>18</v>
      </c>
      <c r="H49">
        <v>239</v>
      </c>
      <c r="I49" s="4">
        <v>11.46</v>
      </c>
      <c r="J49" s="4">
        <v>11.28</v>
      </c>
      <c r="K49" s="4">
        <f>Table1[[#This Row],[Quantity]]*Table1[[#This Row],[Negotiated_Price]]</f>
        <v>2695.92</v>
      </c>
      <c r="L49" s="4">
        <f>Table1[[#This Row],[Quantity]]*Table1[[#This Row],[Unit_Price]]</f>
        <v>2738.94</v>
      </c>
      <c r="M49" s="4">
        <f>Table1[[#This Row],[Unit_Price]]-Table1[[#This Row],[Negotiated_Price]]</f>
        <v>0.18000000000000149</v>
      </c>
      <c r="N49" s="3">
        <f>(Table1[[#This Row],[Unit_Price]]-Table1[[#This Row],[Negotiated_Price]])/Table1[[#This Row],[Unit_Price]]</f>
        <v>1.5706806282722641E-2</v>
      </c>
      <c r="O49">
        <v>4</v>
      </c>
      <c r="P49" t="s">
        <v>15</v>
      </c>
      <c r="Q49">
        <f>IF(Table1[[#This Row],[Compliance]]="Yes", 1, 0)</f>
        <v>1</v>
      </c>
    </row>
    <row r="50" spans="1:17" x14ac:dyDescent="0.35">
      <c r="A50" t="s">
        <v>75</v>
      </c>
      <c r="B50" t="s">
        <v>17</v>
      </c>
      <c r="C50" s="1">
        <v>44606</v>
      </c>
      <c r="D50" s="1">
        <v>44625</v>
      </c>
      <c r="E50" s="1">
        <f>SUM(Table1[[#This Row],[Delivery_Date]]-Table1[[#This Row],[Order_Date]])</f>
        <v>19</v>
      </c>
      <c r="F50" t="s">
        <v>13</v>
      </c>
      <c r="G50" t="s">
        <v>35</v>
      </c>
      <c r="H50">
        <v>1007</v>
      </c>
      <c r="I50" s="4">
        <v>52.44</v>
      </c>
      <c r="J50" s="4">
        <v>46.06</v>
      </c>
      <c r="K50" s="4">
        <f>Table1[[#This Row],[Quantity]]*Table1[[#This Row],[Negotiated_Price]]</f>
        <v>46382.420000000006</v>
      </c>
      <c r="L50" s="4">
        <f>Table1[[#This Row],[Quantity]]*Table1[[#This Row],[Unit_Price]]</f>
        <v>52807.079999999994</v>
      </c>
      <c r="M50" s="4">
        <f>Table1[[#This Row],[Unit_Price]]-Table1[[#This Row],[Negotiated_Price]]</f>
        <v>6.3799999999999955</v>
      </c>
      <c r="N50" s="3">
        <f>(Table1[[#This Row],[Unit_Price]]-Table1[[#This Row],[Negotiated_Price]])/Table1[[#This Row],[Unit_Price]]</f>
        <v>0.12166285278413416</v>
      </c>
      <c r="O50">
        <v>167</v>
      </c>
      <c r="P50" t="s">
        <v>15</v>
      </c>
      <c r="Q50">
        <f>IF(Table1[[#This Row],[Compliance]]="Yes", 1, 0)</f>
        <v>1</v>
      </c>
    </row>
    <row r="51" spans="1:17" hidden="1" x14ac:dyDescent="0.35">
      <c r="A51" t="s">
        <v>76</v>
      </c>
      <c r="B51" t="s">
        <v>12</v>
      </c>
      <c r="C51" s="1">
        <v>45032</v>
      </c>
      <c r="E51" s="1">
        <f>SUM(Table1[[#This Row],[Delivery_Date]]-Table1[[#This Row],[Order_Date]])</f>
        <v>-45032</v>
      </c>
      <c r="F51" t="s">
        <v>21</v>
      </c>
      <c r="G51" t="s">
        <v>35</v>
      </c>
      <c r="H51">
        <v>736</v>
      </c>
      <c r="I51">
        <v>16.2</v>
      </c>
      <c r="J51">
        <v>15.33</v>
      </c>
      <c r="K51">
        <f>Table1[[#This Row],[Quantity]]*Table1[[#This Row],[Negotiated_Price]]</f>
        <v>11282.88</v>
      </c>
      <c r="L51" s="5">
        <f>Table1[[#This Row],[Quantity]]*Table1[[#This Row],[Unit_Price]]</f>
        <v>11923.199999999999</v>
      </c>
      <c r="M51">
        <f>Table1[[#This Row],[Unit_Price]]-Table1[[#This Row],[Negotiated_Price]]</f>
        <v>0.86999999999999922</v>
      </c>
      <c r="N51" s="2">
        <f>(Table1[[#This Row],[Unit_Price]]-Table1[[#This Row],[Negotiated_Price]])/Table1[[#This Row],[Unit_Price]]</f>
        <v>5.3703703703703656E-2</v>
      </c>
      <c r="O51">
        <v>18</v>
      </c>
      <c r="P51" t="s">
        <v>15</v>
      </c>
      <c r="Q51">
        <f>IF(Table1[[#This Row],[Compliance]]="Yes", 1, 0)</f>
        <v>1</v>
      </c>
    </row>
    <row r="52" spans="1:17" x14ac:dyDescent="0.35">
      <c r="A52" t="s">
        <v>77</v>
      </c>
      <c r="B52" t="s">
        <v>29</v>
      </c>
      <c r="C52" s="1">
        <v>45111</v>
      </c>
      <c r="D52" s="1">
        <v>45121</v>
      </c>
      <c r="E52" s="1">
        <f>SUM(Table1[[#This Row],[Delivery_Date]]-Table1[[#This Row],[Order_Date]])</f>
        <v>10</v>
      </c>
      <c r="F52" t="s">
        <v>39</v>
      </c>
      <c r="G52" t="s">
        <v>18</v>
      </c>
      <c r="H52">
        <v>1007</v>
      </c>
      <c r="I52" s="4">
        <v>22.56</v>
      </c>
      <c r="J52" s="4">
        <v>19.59</v>
      </c>
      <c r="K52" s="4">
        <f>Table1[[#This Row],[Quantity]]*Table1[[#This Row],[Negotiated_Price]]</f>
        <v>19727.13</v>
      </c>
      <c r="L52" s="4">
        <f>Table1[[#This Row],[Quantity]]*Table1[[#This Row],[Unit_Price]]</f>
        <v>22717.919999999998</v>
      </c>
      <c r="M52" s="4">
        <f>Table1[[#This Row],[Unit_Price]]-Table1[[#This Row],[Negotiated_Price]]</f>
        <v>2.9699999999999989</v>
      </c>
      <c r="N52" s="3">
        <f>(Table1[[#This Row],[Unit_Price]]-Table1[[#This Row],[Negotiated_Price]])/Table1[[#This Row],[Unit_Price]]</f>
        <v>0.13164893617021273</v>
      </c>
      <c r="P52" t="s">
        <v>15</v>
      </c>
      <c r="Q52">
        <f>IF(Table1[[#This Row],[Compliance]]="Yes", 1, 0)</f>
        <v>1</v>
      </c>
    </row>
    <row r="53" spans="1:17" hidden="1" x14ac:dyDescent="0.35">
      <c r="A53" t="s">
        <v>78</v>
      </c>
      <c r="B53" t="s">
        <v>17</v>
      </c>
      <c r="C53" s="1">
        <v>44689</v>
      </c>
      <c r="E53" s="1">
        <f>SUM(Table1[[#This Row],[Delivery_Date]]-Table1[[#This Row],[Order_Date]])</f>
        <v>-44689</v>
      </c>
      <c r="F53" t="s">
        <v>13</v>
      </c>
      <c r="G53" t="s">
        <v>18</v>
      </c>
      <c r="H53">
        <v>612</v>
      </c>
      <c r="I53">
        <v>20.99</v>
      </c>
      <c r="J53">
        <v>19.75</v>
      </c>
      <c r="K53">
        <f>Table1[[#This Row],[Quantity]]*Table1[[#This Row],[Negotiated_Price]]</f>
        <v>12087</v>
      </c>
      <c r="L53" s="5">
        <f>Table1[[#This Row],[Quantity]]*Table1[[#This Row],[Unit_Price]]</f>
        <v>12845.88</v>
      </c>
      <c r="M53">
        <f>Table1[[#This Row],[Unit_Price]]-Table1[[#This Row],[Negotiated_Price]]</f>
        <v>1.2399999999999984</v>
      </c>
      <c r="N53" s="2">
        <f>(Table1[[#This Row],[Unit_Price]]-Table1[[#This Row],[Negotiated_Price]])/Table1[[#This Row],[Unit_Price]]</f>
        <v>5.9075750357312939E-2</v>
      </c>
      <c r="O53">
        <v>102</v>
      </c>
      <c r="P53" t="s">
        <v>15</v>
      </c>
      <c r="Q53">
        <f>IF(Table1[[#This Row],[Compliance]]="Yes", 1, 0)</f>
        <v>1</v>
      </c>
    </row>
    <row r="54" spans="1:17" x14ac:dyDescent="0.35">
      <c r="A54" t="s">
        <v>79</v>
      </c>
      <c r="B54" t="s">
        <v>12</v>
      </c>
      <c r="C54" s="1">
        <v>44949</v>
      </c>
      <c r="D54" s="1">
        <v>44959</v>
      </c>
      <c r="E54" s="1">
        <f>SUM(Table1[[#This Row],[Delivery_Date]]-Table1[[#This Row],[Order_Date]])</f>
        <v>10</v>
      </c>
      <c r="F54" t="s">
        <v>21</v>
      </c>
      <c r="G54" t="s">
        <v>35</v>
      </c>
      <c r="H54">
        <v>1949</v>
      </c>
      <c r="I54" s="4">
        <v>72.53</v>
      </c>
      <c r="J54" s="4">
        <v>63.26</v>
      </c>
      <c r="K54" s="4">
        <f>Table1[[#This Row],[Quantity]]*Table1[[#This Row],[Negotiated_Price]]</f>
        <v>123293.73999999999</v>
      </c>
      <c r="L54" s="4">
        <f>Table1[[#This Row],[Quantity]]*Table1[[#This Row],[Unit_Price]]</f>
        <v>141360.97</v>
      </c>
      <c r="M54" s="4">
        <f>Table1[[#This Row],[Unit_Price]]-Table1[[#This Row],[Negotiated_Price]]</f>
        <v>9.2700000000000031</v>
      </c>
      <c r="N54" s="3">
        <f>(Table1[[#This Row],[Unit_Price]]-Table1[[#This Row],[Negotiated_Price]])/Table1[[#This Row],[Unit_Price]]</f>
        <v>0.12780918240727979</v>
      </c>
      <c r="O54">
        <v>48</v>
      </c>
      <c r="P54" t="s">
        <v>27</v>
      </c>
      <c r="Q54">
        <f>IF(Table1[[#This Row],[Compliance]]="Yes", 1, 0)</f>
        <v>0</v>
      </c>
    </row>
    <row r="55" spans="1:17" x14ac:dyDescent="0.35">
      <c r="A55" t="s">
        <v>80</v>
      </c>
      <c r="B55" t="s">
        <v>17</v>
      </c>
      <c r="C55" s="1">
        <v>44642</v>
      </c>
      <c r="D55" s="1">
        <v>44648</v>
      </c>
      <c r="E55" s="1">
        <f>SUM(Table1[[#This Row],[Delivery_Date]]-Table1[[#This Row],[Order_Date]])</f>
        <v>6</v>
      </c>
      <c r="F55" t="s">
        <v>13</v>
      </c>
      <c r="G55" t="s">
        <v>14</v>
      </c>
      <c r="H55">
        <v>1640</v>
      </c>
      <c r="I55" s="4">
        <v>77.92</v>
      </c>
      <c r="J55" s="4">
        <v>76.41</v>
      </c>
      <c r="K55" s="4">
        <f>Table1[[#This Row],[Quantity]]*Table1[[#This Row],[Negotiated_Price]]</f>
        <v>125312.4</v>
      </c>
      <c r="L55" s="4">
        <f>Table1[[#This Row],[Quantity]]*Table1[[#This Row],[Unit_Price]]</f>
        <v>127788.8</v>
      </c>
      <c r="M55" s="4">
        <f>Table1[[#This Row],[Unit_Price]]-Table1[[#This Row],[Negotiated_Price]]</f>
        <v>1.5100000000000051</v>
      </c>
      <c r="N55" s="3">
        <f>(Table1[[#This Row],[Unit_Price]]-Table1[[#This Row],[Negotiated_Price]])/Table1[[#This Row],[Unit_Price]]</f>
        <v>1.937885010266947E-2</v>
      </c>
      <c r="O55">
        <v>262</v>
      </c>
      <c r="P55" t="s">
        <v>27</v>
      </c>
      <c r="Q55">
        <f>IF(Table1[[#This Row],[Compliance]]="Yes", 1, 0)</f>
        <v>0</v>
      </c>
    </row>
    <row r="56" spans="1:17" x14ac:dyDescent="0.35">
      <c r="A56" t="s">
        <v>81</v>
      </c>
      <c r="B56" t="s">
        <v>23</v>
      </c>
      <c r="C56" s="1">
        <v>45127</v>
      </c>
      <c r="D56" s="1">
        <v>45145</v>
      </c>
      <c r="E56" s="1">
        <f>SUM(Table1[[#This Row],[Delivery_Date]]-Table1[[#This Row],[Order_Date]])</f>
        <v>18</v>
      </c>
      <c r="F56" t="s">
        <v>39</v>
      </c>
      <c r="G56" t="s">
        <v>18</v>
      </c>
      <c r="H56">
        <v>1317</v>
      </c>
      <c r="I56" s="4">
        <v>68.13</v>
      </c>
      <c r="J56" s="4">
        <v>60.52</v>
      </c>
      <c r="K56" s="4">
        <f>Table1[[#This Row],[Quantity]]*Table1[[#This Row],[Negotiated_Price]]</f>
        <v>79704.840000000011</v>
      </c>
      <c r="L56" s="4">
        <f>Table1[[#This Row],[Quantity]]*Table1[[#This Row],[Unit_Price]]</f>
        <v>89727.209999999992</v>
      </c>
      <c r="M56" s="4">
        <f>Table1[[#This Row],[Unit_Price]]-Table1[[#This Row],[Negotiated_Price]]</f>
        <v>7.6099999999999923</v>
      </c>
      <c r="N56" s="3">
        <f>(Table1[[#This Row],[Unit_Price]]-Table1[[#This Row],[Negotiated_Price]])/Table1[[#This Row],[Unit_Price]]</f>
        <v>0.11169822398356073</v>
      </c>
      <c r="O56">
        <v>136</v>
      </c>
      <c r="P56" t="s">
        <v>15</v>
      </c>
      <c r="Q56">
        <f>IF(Table1[[#This Row],[Compliance]]="Yes", 1, 0)</f>
        <v>1</v>
      </c>
    </row>
    <row r="57" spans="1:17" x14ac:dyDescent="0.35">
      <c r="A57" t="s">
        <v>82</v>
      </c>
      <c r="B57" t="s">
        <v>29</v>
      </c>
      <c r="C57" s="1">
        <v>44862</v>
      </c>
      <c r="D57" s="1">
        <v>44864</v>
      </c>
      <c r="E57" s="1">
        <f>SUM(Table1[[#This Row],[Delivery_Date]]-Table1[[#This Row],[Order_Date]])</f>
        <v>2</v>
      </c>
      <c r="F57" t="s">
        <v>26</v>
      </c>
      <c r="G57" t="s">
        <v>18</v>
      </c>
      <c r="H57">
        <v>881</v>
      </c>
      <c r="I57" s="4">
        <v>100.94</v>
      </c>
      <c r="J57" s="4">
        <v>95.05</v>
      </c>
      <c r="K57" s="4">
        <f>Table1[[#This Row],[Quantity]]*Table1[[#This Row],[Negotiated_Price]]</f>
        <v>83739.05</v>
      </c>
      <c r="L57" s="4">
        <f>Table1[[#This Row],[Quantity]]*Table1[[#This Row],[Unit_Price]]</f>
        <v>88928.14</v>
      </c>
      <c r="M57" s="4">
        <f>Table1[[#This Row],[Unit_Price]]-Table1[[#This Row],[Negotiated_Price]]</f>
        <v>5.8900000000000006</v>
      </c>
      <c r="N57" s="3">
        <f>(Table1[[#This Row],[Unit_Price]]-Table1[[#This Row],[Negotiated_Price]])/Table1[[#This Row],[Unit_Price]]</f>
        <v>5.8351495938181105E-2</v>
      </c>
      <c r="O57">
        <v>30</v>
      </c>
      <c r="P57" t="s">
        <v>15</v>
      </c>
      <c r="Q57">
        <f>IF(Table1[[#This Row],[Compliance]]="Yes", 1, 0)</f>
        <v>1</v>
      </c>
    </row>
    <row r="58" spans="1:17" hidden="1" x14ac:dyDescent="0.35">
      <c r="A58" t="s">
        <v>83</v>
      </c>
      <c r="B58" t="s">
        <v>17</v>
      </c>
      <c r="C58" s="1">
        <v>45205</v>
      </c>
      <c r="E58" s="1">
        <f>SUM(Table1[[#This Row],[Delivery_Date]]-Table1[[#This Row],[Order_Date]])</f>
        <v>-45205</v>
      </c>
      <c r="F58" t="s">
        <v>24</v>
      </c>
      <c r="G58" t="s">
        <v>18</v>
      </c>
      <c r="H58">
        <v>1578</v>
      </c>
      <c r="I58">
        <v>48.33</v>
      </c>
      <c r="J58">
        <v>42.77</v>
      </c>
      <c r="K58">
        <f>Table1[[#This Row],[Quantity]]*Table1[[#This Row],[Negotiated_Price]]</f>
        <v>67491.06</v>
      </c>
      <c r="L58" s="5">
        <f>Table1[[#This Row],[Quantity]]*Table1[[#This Row],[Unit_Price]]</f>
        <v>76264.739999999991</v>
      </c>
      <c r="M58">
        <f>Table1[[#This Row],[Unit_Price]]-Table1[[#This Row],[Negotiated_Price]]</f>
        <v>5.5599999999999952</v>
      </c>
      <c r="N58" s="2">
        <f>(Table1[[#This Row],[Unit_Price]]-Table1[[#This Row],[Negotiated_Price]])/Table1[[#This Row],[Unit_Price]]</f>
        <v>0.11504241671839427</v>
      </c>
      <c r="O58">
        <v>206</v>
      </c>
      <c r="P58" t="s">
        <v>15</v>
      </c>
      <c r="Q58">
        <f>IF(Table1[[#This Row],[Compliance]]="Yes", 1, 0)</f>
        <v>1</v>
      </c>
    </row>
    <row r="59" spans="1:17" x14ac:dyDescent="0.35">
      <c r="A59" t="s">
        <v>84</v>
      </c>
      <c r="B59" t="s">
        <v>17</v>
      </c>
      <c r="C59" s="1">
        <v>45195</v>
      </c>
      <c r="D59" s="1">
        <v>45200</v>
      </c>
      <c r="E59" s="1">
        <f>SUM(Table1[[#This Row],[Delivery_Date]]-Table1[[#This Row],[Order_Date]])</f>
        <v>5</v>
      </c>
      <c r="F59" t="s">
        <v>21</v>
      </c>
      <c r="G59" t="s">
        <v>18</v>
      </c>
      <c r="H59">
        <v>1204</v>
      </c>
      <c r="I59" s="4">
        <v>39.29</v>
      </c>
      <c r="J59" s="4">
        <v>35.44</v>
      </c>
      <c r="K59" s="4">
        <f>Table1[[#This Row],[Quantity]]*Table1[[#This Row],[Negotiated_Price]]</f>
        <v>42669.759999999995</v>
      </c>
      <c r="L59" s="4">
        <f>Table1[[#This Row],[Quantity]]*Table1[[#This Row],[Unit_Price]]</f>
        <v>47305.159999999996</v>
      </c>
      <c r="M59" s="4">
        <f>Table1[[#This Row],[Unit_Price]]-Table1[[#This Row],[Negotiated_Price]]</f>
        <v>3.8500000000000014</v>
      </c>
      <c r="N59" s="3">
        <f>(Table1[[#This Row],[Unit_Price]]-Table1[[#This Row],[Negotiated_Price]])/Table1[[#This Row],[Unit_Price]]</f>
        <v>9.7989310257062909E-2</v>
      </c>
      <c r="P59" t="s">
        <v>15</v>
      </c>
      <c r="Q59">
        <f>IF(Table1[[#This Row],[Compliance]]="Yes", 1, 0)</f>
        <v>1</v>
      </c>
    </row>
    <row r="60" spans="1:17" x14ac:dyDescent="0.35">
      <c r="A60" t="s">
        <v>85</v>
      </c>
      <c r="B60" t="s">
        <v>29</v>
      </c>
      <c r="C60" s="1">
        <v>44932</v>
      </c>
      <c r="D60" s="1">
        <v>44948</v>
      </c>
      <c r="E60" s="1">
        <f>SUM(Table1[[#This Row],[Delivery_Date]]-Table1[[#This Row],[Order_Date]])</f>
        <v>16</v>
      </c>
      <c r="F60" t="s">
        <v>21</v>
      </c>
      <c r="G60" t="s">
        <v>35</v>
      </c>
      <c r="H60">
        <v>1558</v>
      </c>
      <c r="I60" s="4">
        <v>93.46</v>
      </c>
      <c r="J60" s="4">
        <v>91.27</v>
      </c>
      <c r="K60" s="4">
        <f>Table1[[#This Row],[Quantity]]*Table1[[#This Row],[Negotiated_Price]]</f>
        <v>142198.66</v>
      </c>
      <c r="L60" s="4">
        <f>Table1[[#This Row],[Quantity]]*Table1[[#This Row],[Unit_Price]]</f>
        <v>145610.68</v>
      </c>
      <c r="M60" s="4">
        <f>Table1[[#This Row],[Unit_Price]]-Table1[[#This Row],[Negotiated_Price]]</f>
        <v>2.1899999999999977</v>
      </c>
      <c r="N60" s="3">
        <f>(Table1[[#This Row],[Unit_Price]]-Table1[[#This Row],[Negotiated_Price]])/Table1[[#This Row],[Unit_Price]]</f>
        <v>2.3432484485341298E-2</v>
      </c>
      <c r="O60">
        <v>39</v>
      </c>
      <c r="P60" t="s">
        <v>15</v>
      </c>
      <c r="Q60">
        <f>IF(Table1[[#This Row],[Compliance]]="Yes", 1, 0)</f>
        <v>1</v>
      </c>
    </row>
    <row r="61" spans="1:17" x14ac:dyDescent="0.35">
      <c r="A61" t="s">
        <v>86</v>
      </c>
      <c r="B61" t="s">
        <v>12</v>
      </c>
      <c r="C61" s="1">
        <v>45153</v>
      </c>
      <c r="D61" s="1">
        <v>45154</v>
      </c>
      <c r="E61" s="1">
        <f>SUM(Table1[[#This Row],[Delivery_Date]]-Table1[[#This Row],[Order_Date]])</f>
        <v>1</v>
      </c>
      <c r="F61" t="s">
        <v>24</v>
      </c>
      <c r="G61" t="s">
        <v>18</v>
      </c>
      <c r="H61">
        <v>1892</v>
      </c>
      <c r="I61" s="4">
        <v>32.99</v>
      </c>
      <c r="J61" s="4">
        <v>28.81</v>
      </c>
      <c r="K61" s="4">
        <f>Table1[[#This Row],[Quantity]]*Table1[[#This Row],[Negotiated_Price]]</f>
        <v>54508.52</v>
      </c>
      <c r="L61" s="4">
        <f>Table1[[#This Row],[Quantity]]*Table1[[#This Row],[Unit_Price]]</f>
        <v>62417.08</v>
      </c>
      <c r="M61" s="4">
        <f>Table1[[#This Row],[Unit_Price]]-Table1[[#This Row],[Negotiated_Price]]</f>
        <v>4.1800000000000033</v>
      </c>
      <c r="N61" s="3">
        <f>(Table1[[#This Row],[Unit_Price]]-Table1[[#This Row],[Negotiated_Price]])/Table1[[#This Row],[Unit_Price]]</f>
        <v>0.12670506214004254</v>
      </c>
      <c r="O61">
        <v>35</v>
      </c>
      <c r="P61" t="s">
        <v>15</v>
      </c>
      <c r="Q61">
        <f>IF(Table1[[#This Row],[Compliance]]="Yes", 1, 0)</f>
        <v>1</v>
      </c>
    </row>
    <row r="62" spans="1:17" x14ac:dyDescent="0.35">
      <c r="A62" t="s">
        <v>87</v>
      </c>
      <c r="B62" t="s">
        <v>29</v>
      </c>
      <c r="C62" s="1">
        <v>44758</v>
      </c>
      <c r="D62" s="1">
        <v>44774</v>
      </c>
      <c r="E62" s="1">
        <f>SUM(Table1[[#This Row],[Delivery_Date]]-Table1[[#This Row],[Order_Date]])</f>
        <v>16</v>
      </c>
      <c r="F62" t="s">
        <v>24</v>
      </c>
      <c r="G62" t="s">
        <v>18</v>
      </c>
      <c r="H62">
        <v>696</v>
      </c>
      <c r="I62" s="4">
        <v>99.59</v>
      </c>
      <c r="J62" s="4">
        <v>90.18</v>
      </c>
      <c r="K62" s="4">
        <f>Table1[[#This Row],[Quantity]]*Table1[[#This Row],[Negotiated_Price]]</f>
        <v>62765.280000000006</v>
      </c>
      <c r="L62" s="4">
        <f>Table1[[#This Row],[Quantity]]*Table1[[#This Row],[Unit_Price]]</f>
        <v>69314.64</v>
      </c>
      <c r="M62" s="4">
        <f>Table1[[#This Row],[Unit_Price]]-Table1[[#This Row],[Negotiated_Price]]</f>
        <v>9.4099999999999966</v>
      </c>
      <c r="N62" s="3">
        <f>(Table1[[#This Row],[Unit_Price]]-Table1[[#This Row],[Negotiated_Price]])/Table1[[#This Row],[Unit_Price]]</f>
        <v>9.448739833316594E-2</v>
      </c>
      <c r="O62">
        <v>25</v>
      </c>
      <c r="P62" t="s">
        <v>15</v>
      </c>
      <c r="Q62">
        <f>IF(Table1[[#This Row],[Compliance]]="Yes", 1, 0)</f>
        <v>1</v>
      </c>
    </row>
    <row r="63" spans="1:17" x14ac:dyDescent="0.35">
      <c r="A63" t="s">
        <v>88</v>
      </c>
      <c r="B63" t="s">
        <v>17</v>
      </c>
      <c r="C63" s="1">
        <v>45283</v>
      </c>
      <c r="D63" s="1">
        <v>45294</v>
      </c>
      <c r="E63" s="1">
        <f>SUM(Table1[[#This Row],[Delivery_Date]]-Table1[[#This Row],[Order_Date]])</f>
        <v>11</v>
      </c>
      <c r="F63" t="s">
        <v>21</v>
      </c>
      <c r="G63" t="s">
        <v>33</v>
      </c>
      <c r="H63">
        <v>70</v>
      </c>
      <c r="I63" s="4">
        <v>12.37</v>
      </c>
      <c r="J63" s="4">
        <v>11.04</v>
      </c>
      <c r="K63" s="4">
        <f>Table1[[#This Row],[Quantity]]*Table1[[#This Row],[Negotiated_Price]]</f>
        <v>772.8</v>
      </c>
      <c r="L63" s="4">
        <f>Table1[[#This Row],[Quantity]]*Table1[[#This Row],[Unit_Price]]</f>
        <v>865.9</v>
      </c>
      <c r="M63" s="4">
        <f>Table1[[#This Row],[Unit_Price]]-Table1[[#This Row],[Negotiated_Price]]</f>
        <v>1.33</v>
      </c>
      <c r="N63" s="3">
        <f>(Table1[[#This Row],[Unit_Price]]-Table1[[#This Row],[Negotiated_Price]])/Table1[[#This Row],[Unit_Price]]</f>
        <v>0.10751818916734035</v>
      </c>
      <c r="O63">
        <v>10</v>
      </c>
      <c r="P63" t="s">
        <v>15</v>
      </c>
      <c r="Q63">
        <f>IF(Table1[[#This Row],[Compliance]]="Yes", 1, 0)</f>
        <v>1</v>
      </c>
    </row>
    <row r="64" spans="1:17" x14ac:dyDescent="0.35">
      <c r="A64" t="s">
        <v>89</v>
      </c>
      <c r="B64" t="s">
        <v>20</v>
      </c>
      <c r="C64" s="1">
        <v>44633</v>
      </c>
      <c r="D64" s="1">
        <v>44635</v>
      </c>
      <c r="E64" s="1">
        <f>SUM(Table1[[#This Row],[Delivery_Date]]-Table1[[#This Row],[Order_Date]])</f>
        <v>2</v>
      </c>
      <c r="F64" t="s">
        <v>26</v>
      </c>
      <c r="G64" t="s">
        <v>18</v>
      </c>
      <c r="H64">
        <v>890</v>
      </c>
      <c r="I64" s="4">
        <v>98.26</v>
      </c>
      <c r="J64" s="4">
        <v>93.14</v>
      </c>
      <c r="K64" s="4">
        <f>Table1[[#This Row],[Quantity]]*Table1[[#This Row],[Negotiated_Price]]</f>
        <v>82894.600000000006</v>
      </c>
      <c r="L64" s="4">
        <f>Table1[[#This Row],[Quantity]]*Table1[[#This Row],[Unit_Price]]</f>
        <v>87451.400000000009</v>
      </c>
      <c r="M64" s="4">
        <f>Table1[[#This Row],[Unit_Price]]-Table1[[#This Row],[Negotiated_Price]]</f>
        <v>5.1200000000000045</v>
      </c>
      <c r="N64" s="3">
        <f>(Table1[[#This Row],[Unit_Price]]-Table1[[#This Row],[Negotiated_Price]])/Table1[[#This Row],[Unit_Price]]</f>
        <v>5.2106655811113414E-2</v>
      </c>
      <c r="O64">
        <v>49</v>
      </c>
      <c r="P64" t="s">
        <v>15</v>
      </c>
      <c r="Q64">
        <f>IF(Table1[[#This Row],[Compliance]]="Yes", 1, 0)</f>
        <v>1</v>
      </c>
    </row>
    <row r="65" spans="1:17" x14ac:dyDescent="0.35">
      <c r="A65" t="s">
        <v>90</v>
      </c>
      <c r="B65" t="s">
        <v>12</v>
      </c>
      <c r="C65" s="1">
        <v>44608</v>
      </c>
      <c r="D65" s="1">
        <v>44624</v>
      </c>
      <c r="E65" s="1">
        <f>SUM(Table1[[#This Row],[Delivery_Date]]-Table1[[#This Row],[Order_Date]])</f>
        <v>16</v>
      </c>
      <c r="F65" t="s">
        <v>21</v>
      </c>
      <c r="G65" t="s">
        <v>18</v>
      </c>
      <c r="H65">
        <v>216</v>
      </c>
      <c r="I65" s="4">
        <v>13.95</v>
      </c>
      <c r="J65" s="4">
        <v>12.31</v>
      </c>
      <c r="K65" s="4">
        <f>Table1[[#This Row],[Quantity]]*Table1[[#This Row],[Negotiated_Price]]</f>
        <v>2658.96</v>
      </c>
      <c r="L65" s="4">
        <f>Table1[[#This Row],[Quantity]]*Table1[[#This Row],[Unit_Price]]</f>
        <v>3013.2</v>
      </c>
      <c r="M65" s="4">
        <f>Table1[[#This Row],[Unit_Price]]-Table1[[#This Row],[Negotiated_Price]]</f>
        <v>1.6399999999999988</v>
      </c>
      <c r="N65" s="3">
        <f>(Table1[[#This Row],[Unit_Price]]-Table1[[#This Row],[Negotiated_Price]])/Table1[[#This Row],[Unit_Price]]</f>
        <v>0.11756272401433683</v>
      </c>
      <c r="O65">
        <v>5</v>
      </c>
      <c r="P65" t="s">
        <v>15</v>
      </c>
      <c r="Q65">
        <f>IF(Table1[[#This Row],[Compliance]]="Yes", 1, 0)</f>
        <v>1</v>
      </c>
    </row>
    <row r="66" spans="1:17" x14ac:dyDescent="0.35">
      <c r="A66" t="s">
        <v>91</v>
      </c>
      <c r="B66" t="s">
        <v>17</v>
      </c>
      <c r="C66" s="1">
        <v>45239</v>
      </c>
      <c r="D66" s="1">
        <v>45242</v>
      </c>
      <c r="E66" s="1">
        <f>SUM(Table1[[#This Row],[Delivery_Date]]-Table1[[#This Row],[Order_Date]])</f>
        <v>3</v>
      </c>
      <c r="F66" t="s">
        <v>24</v>
      </c>
      <c r="G66" t="s">
        <v>18</v>
      </c>
      <c r="H66">
        <v>1347</v>
      </c>
      <c r="I66" s="4">
        <v>100.13</v>
      </c>
      <c r="J66" s="4">
        <v>94.3</v>
      </c>
      <c r="K66" s="4">
        <f>Table1[[#This Row],[Quantity]]*Table1[[#This Row],[Negotiated_Price]]</f>
        <v>127022.09999999999</v>
      </c>
      <c r="L66" s="4">
        <f>Table1[[#This Row],[Quantity]]*Table1[[#This Row],[Unit_Price]]</f>
        <v>134875.10999999999</v>
      </c>
      <c r="M66" s="4">
        <f>Table1[[#This Row],[Unit_Price]]-Table1[[#This Row],[Negotiated_Price]]</f>
        <v>5.8299999999999983</v>
      </c>
      <c r="N66" s="3">
        <f>(Table1[[#This Row],[Unit_Price]]-Table1[[#This Row],[Negotiated_Price]])/Table1[[#This Row],[Unit_Price]]</f>
        <v>5.822430839908118E-2</v>
      </c>
      <c r="O66">
        <v>200</v>
      </c>
      <c r="P66" t="s">
        <v>15</v>
      </c>
      <c r="Q66">
        <f>IF(Table1[[#This Row],[Compliance]]="Yes", 1, 0)</f>
        <v>1</v>
      </c>
    </row>
    <row r="67" spans="1:17" x14ac:dyDescent="0.35">
      <c r="A67" t="s">
        <v>92</v>
      </c>
      <c r="B67" t="s">
        <v>20</v>
      </c>
      <c r="C67" s="1">
        <v>44795</v>
      </c>
      <c r="D67" s="1">
        <v>44798</v>
      </c>
      <c r="E67" s="1">
        <f>SUM(Table1[[#This Row],[Delivery_Date]]-Table1[[#This Row],[Order_Date]])</f>
        <v>3</v>
      </c>
      <c r="F67" t="s">
        <v>13</v>
      </c>
      <c r="G67" t="s">
        <v>33</v>
      </c>
      <c r="H67">
        <v>437</v>
      </c>
      <c r="I67" s="4">
        <v>59.51</v>
      </c>
      <c r="J67" s="4">
        <v>56.45</v>
      </c>
      <c r="K67" s="4">
        <f>Table1[[#This Row],[Quantity]]*Table1[[#This Row],[Negotiated_Price]]</f>
        <v>24668.65</v>
      </c>
      <c r="L67" s="4">
        <f>Table1[[#This Row],[Quantity]]*Table1[[#This Row],[Unit_Price]]</f>
        <v>26005.87</v>
      </c>
      <c r="M67" s="4">
        <f>Table1[[#This Row],[Unit_Price]]-Table1[[#This Row],[Negotiated_Price]]</f>
        <v>3.0599999999999952</v>
      </c>
      <c r="N67" s="3">
        <f>(Table1[[#This Row],[Unit_Price]]-Table1[[#This Row],[Negotiated_Price]])/Table1[[#This Row],[Unit_Price]]</f>
        <v>5.14199294236262E-2</v>
      </c>
      <c r="O67">
        <v>25</v>
      </c>
      <c r="P67" t="s">
        <v>27</v>
      </c>
      <c r="Q67">
        <f>IF(Table1[[#This Row],[Compliance]]="Yes", 1, 0)</f>
        <v>0</v>
      </c>
    </row>
    <row r="68" spans="1:17" x14ac:dyDescent="0.35">
      <c r="A68" t="s">
        <v>93</v>
      </c>
      <c r="B68" t="s">
        <v>12</v>
      </c>
      <c r="C68" s="1">
        <v>44858</v>
      </c>
      <c r="D68" s="1">
        <v>44860</v>
      </c>
      <c r="E68" s="1">
        <f>SUM(Table1[[#This Row],[Delivery_Date]]-Table1[[#This Row],[Order_Date]])</f>
        <v>2</v>
      </c>
      <c r="F68" t="s">
        <v>39</v>
      </c>
      <c r="G68" t="s">
        <v>18</v>
      </c>
      <c r="H68">
        <v>650</v>
      </c>
      <c r="I68" s="4">
        <v>103.84</v>
      </c>
      <c r="J68" s="4">
        <v>88.28</v>
      </c>
      <c r="K68" s="4">
        <f>Table1[[#This Row],[Quantity]]*Table1[[#This Row],[Negotiated_Price]]</f>
        <v>57382</v>
      </c>
      <c r="L68" s="4">
        <f>Table1[[#This Row],[Quantity]]*Table1[[#This Row],[Unit_Price]]</f>
        <v>67496</v>
      </c>
      <c r="M68" s="4">
        <f>Table1[[#This Row],[Unit_Price]]-Table1[[#This Row],[Negotiated_Price]]</f>
        <v>15.560000000000002</v>
      </c>
      <c r="N68" s="3">
        <f>(Table1[[#This Row],[Unit_Price]]-Table1[[#This Row],[Negotiated_Price]])/Table1[[#This Row],[Unit_Price]]</f>
        <v>0.14984591679506937</v>
      </c>
      <c r="O68">
        <v>12</v>
      </c>
      <c r="P68" t="s">
        <v>15</v>
      </c>
      <c r="Q68">
        <f>IF(Table1[[#This Row],[Compliance]]="Yes", 1, 0)</f>
        <v>1</v>
      </c>
    </row>
    <row r="69" spans="1:17" x14ac:dyDescent="0.35">
      <c r="A69" t="s">
        <v>94</v>
      </c>
      <c r="B69" t="s">
        <v>23</v>
      </c>
      <c r="C69" s="1">
        <v>44643</v>
      </c>
      <c r="D69" s="1">
        <v>44662</v>
      </c>
      <c r="E69" s="1">
        <f>SUM(Table1[[#This Row],[Delivery_Date]]-Table1[[#This Row],[Order_Date]])</f>
        <v>19</v>
      </c>
      <c r="F69" t="s">
        <v>13</v>
      </c>
      <c r="G69" t="s">
        <v>18</v>
      </c>
      <c r="H69">
        <v>365</v>
      </c>
      <c r="I69" s="4">
        <v>16.809999999999999</v>
      </c>
      <c r="J69" s="4">
        <v>15.41</v>
      </c>
      <c r="K69" s="4">
        <f>Table1[[#This Row],[Quantity]]*Table1[[#This Row],[Negotiated_Price]]</f>
        <v>5624.65</v>
      </c>
      <c r="L69" s="4">
        <f>Table1[[#This Row],[Quantity]]*Table1[[#This Row],[Unit_Price]]</f>
        <v>6135.65</v>
      </c>
      <c r="M69" s="4">
        <f>Table1[[#This Row],[Unit_Price]]-Table1[[#This Row],[Negotiated_Price]]</f>
        <v>1.3999999999999986</v>
      </c>
      <c r="N69" s="3">
        <f>(Table1[[#This Row],[Unit_Price]]-Table1[[#This Row],[Negotiated_Price]])/Table1[[#This Row],[Unit_Price]]</f>
        <v>8.3283759666864882E-2</v>
      </c>
      <c r="O69">
        <v>38</v>
      </c>
      <c r="P69" t="s">
        <v>15</v>
      </c>
      <c r="Q69">
        <f>IF(Table1[[#This Row],[Compliance]]="Yes", 1, 0)</f>
        <v>1</v>
      </c>
    </row>
    <row r="70" spans="1:17" hidden="1" x14ac:dyDescent="0.35">
      <c r="A70" t="s">
        <v>95</v>
      </c>
      <c r="B70" t="s">
        <v>29</v>
      </c>
      <c r="C70" s="1">
        <v>44800</v>
      </c>
      <c r="E70" s="1">
        <f>SUM(Table1[[#This Row],[Delivery_Date]]-Table1[[#This Row],[Order_Date]])</f>
        <v>-44800</v>
      </c>
      <c r="F70" t="s">
        <v>26</v>
      </c>
      <c r="G70" t="s">
        <v>14</v>
      </c>
      <c r="H70">
        <v>63</v>
      </c>
      <c r="I70">
        <v>61.94</v>
      </c>
      <c r="J70">
        <v>53.8</v>
      </c>
      <c r="K70">
        <f>Table1[[#This Row],[Quantity]]*Table1[[#This Row],[Negotiated_Price]]</f>
        <v>3389.3999999999996</v>
      </c>
      <c r="L70" s="5">
        <f>Table1[[#This Row],[Quantity]]*Table1[[#This Row],[Unit_Price]]</f>
        <v>3902.22</v>
      </c>
      <c r="M70">
        <f>Table1[[#This Row],[Unit_Price]]-Table1[[#This Row],[Negotiated_Price]]</f>
        <v>8.14</v>
      </c>
      <c r="N70" s="2">
        <f>(Table1[[#This Row],[Unit_Price]]-Table1[[#This Row],[Negotiated_Price]])/Table1[[#This Row],[Unit_Price]]</f>
        <v>0.13141750080723283</v>
      </c>
      <c r="P70" t="s">
        <v>15</v>
      </c>
      <c r="Q70">
        <f>IF(Table1[[#This Row],[Compliance]]="Yes", 1, 0)</f>
        <v>1</v>
      </c>
    </row>
    <row r="71" spans="1:17" x14ac:dyDescent="0.35">
      <c r="A71" t="s">
        <v>96</v>
      </c>
      <c r="B71" t="s">
        <v>12</v>
      </c>
      <c r="C71" s="1">
        <v>44665</v>
      </c>
      <c r="D71" s="1">
        <v>44673</v>
      </c>
      <c r="E71" s="1">
        <f>SUM(Table1[[#This Row],[Delivery_Date]]-Table1[[#This Row],[Order_Date]])</f>
        <v>8</v>
      </c>
      <c r="F71" t="s">
        <v>21</v>
      </c>
      <c r="G71" t="s">
        <v>18</v>
      </c>
      <c r="H71">
        <v>291</v>
      </c>
      <c r="I71" s="4">
        <v>98.7</v>
      </c>
      <c r="J71" s="4">
        <v>87.02</v>
      </c>
      <c r="K71" s="4">
        <f>Table1[[#This Row],[Quantity]]*Table1[[#This Row],[Negotiated_Price]]</f>
        <v>25322.82</v>
      </c>
      <c r="L71" s="4">
        <f>Table1[[#This Row],[Quantity]]*Table1[[#This Row],[Unit_Price]]</f>
        <v>28721.7</v>
      </c>
      <c r="M71" s="4">
        <f>Table1[[#This Row],[Unit_Price]]-Table1[[#This Row],[Negotiated_Price]]</f>
        <v>11.680000000000007</v>
      </c>
      <c r="N71" s="3">
        <f>(Table1[[#This Row],[Unit_Price]]-Table1[[#This Row],[Negotiated_Price]])/Table1[[#This Row],[Unit_Price]]</f>
        <v>0.11833839918946308</v>
      </c>
      <c r="O71">
        <v>9</v>
      </c>
      <c r="P71" t="s">
        <v>15</v>
      </c>
      <c r="Q71">
        <f>IF(Table1[[#This Row],[Compliance]]="Yes", 1, 0)</f>
        <v>1</v>
      </c>
    </row>
    <row r="72" spans="1:17" x14ac:dyDescent="0.35">
      <c r="A72" t="s">
        <v>97</v>
      </c>
      <c r="B72" t="s">
        <v>12</v>
      </c>
      <c r="C72" s="1">
        <v>44951</v>
      </c>
      <c r="D72" s="1">
        <v>44965</v>
      </c>
      <c r="E72" s="1">
        <f>SUM(Table1[[#This Row],[Delivery_Date]]-Table1[[#This Row],[Order_Date]])</f>
        <v>14</v>
      </c>
      <c r="F72" t="s">
        <v>21</v>
      </c>
      <c r="G72" t="s">
        <v>14</v>
      </c>
      <c r="H72">
        <v>826</v>
      </c>
      <c r="I72" s="4">
        <v>60.5</v>
      </c>
      <c r="J72" s="4">
        <v>57.18</v>
      </c>
      <c r="K72" s="4">
        <f>Table1[[#This Row],[Quantity]]*Table1[[#This Row],[Negotiated_Price]]</f>
        <v>47230.68</v>
      </c>
      <c r="L72" s="4">
        <f>Table1[[#This Row],[Quantity]]*Table1[[#This Row],[Unit_Price]]</f>
        <v>49973</v>
      </c>
      <c r="M72" s="4">
        <f>Table1[[#This Row],[Unit_Price]]-Table1[[#This Row],[Negotiated_Price]]</f>
        <v>3.3200000000000003</v>
      </c>
      <c r="N72" s="3">
        <f>(Table1[[#This Row],[Unit_Price]]-Table1[[#This Row],[Negotiated_Price]])/Table1[[#This Row],[Unit_Price]]</f>
        <v>5.4876033057851242E-2</v>
      </c>
      <c r="O72">
        <v>18</v>
      </c>
      <c r="P72" t="s">
        <v>15</v>
      </c>
      <c r="Q72">
        <f>IF(Table1[[#This Row],[Compliance]]="Yes", 1, 0)</f>
        <v>1</v>
      </c>
    </row>
    <row r="73" spans="1:17" x14ac:dyDescent="0.35">
      <c r="A73" t="s">
        <v>98</v>
      </c>
      <c r="B73" t="s">
        <v>17</v>
      </c>
      <c r="C73" s="1">
        <v>44846</v>
      </c>
      <c r="D73" s="1">
        <v>44866</v>
      </c>
      <c r="E73" s="1">
        <f>SUM(Table1[[#This Row],[Delivery_Date]]-Table1[[#This Row],[Order_Date]])</f>
        <v>20</v>
      </c>
      <c r="F73" t="s">
        <v>39</v>
      </c>
      <c r="G73" t="s">
        <v>35</v>
      </c>
      <c r="H73">
        <v>1419</v>
      </c>
      <c r="I73" s="4">
        <v>69.64</v>
      </c>
      <c r="J73" s="4">
        <v>59.28</v>
      </c>
      <c r="K73" s="4">
        <f>Table1[[#This Row],[Quantity]]*Table1[[#This Row],[Negotiated_Price]]</f>
        <v>84118.32</v>
      </c>
      <c r="L73" s="4">
        <f>Table1[[#This Row],[Quantity]]*Table1[[#This Row],[Unit_Price]]</f>
        <v>98819.16</v>
      </c>
      <c r="M73" s="4">
        <f>Table1[[#This Row],[Unit_Price]]-Table1[[#This Row],[Negotiated_Price]]</f>
        <v>10.36</v>
      </c>
      <c r="N73" s="3">
        <f>(Table1[[#This Row],[Unit_Price]]-Table1[[#This Row],[Negotiated_Price]])/Table1[[#This Row],[Unit_Price]]</f>
        <v>0.14876507754164273</v>
      </c>
      <c r="O73">
        <v>194</v>
      </c>
      <c r="P73" t="s">
        <v>15</v>
      </c>
      <c r="Q73">
        <f>IF(Table1[[#This Row],[Compliance]]="Yes", 1, 0)</f>
        <v>1</v>
      </c>
    </row>
    <row r="74" spans="1:17" x14ac:dyDescent="0.35">
      <c r="A74" t="s">
        <v>99</v>
      </c>
      <c r="B74" t="s">
        <v>20</v>
      </c>
      <c r="C74" s="1">
        <v>45026</v>
      </c>
      <c r="D74" s="1">
        <v>45043</v>
      </c>
      <c r="E74" s="1">
        <f>SUM(Table1[[#This Row],[Delivery_Date]]-Table1[[#This Row],[Order_Date]])</f>
        <v>17</v>
      </c>
      <c r="F74" t="s">
        <v>13</v>
      </c>
      <c r="G74" t="s">
        <v>18</v>
      </c>
      <c r="H74">
        <v>614</v>
      </c>
      <c r="I74" s="4">
        <v>78.06</v>
      </c>
      <c r="J74" s="4">
        <v>73.95</v>
      </c>
      <c r="K74" s="4">
        <f>Table1[[#This Row],[Quantity]]*Table1[[#This Row],[Negotiated_Price]]</f>
        <v>45405.3</v>
      </c>
      <c r="L74" s="4">
        <f>Table1[[#This Row],[Quantity]]*Table1[[#This Row],[Unit_Price]]</f>
        <v>47928.840000000004</v>
      </c>
      <c r="M74" s="4">
        <f>Table1[[#This Row],[Unit_Price]]-Table1[[#This Row],[Negotiated_Price]]</f>
        <v>4.1099999999999994</v>
      </c>
      <c r="N74" s="3">
        <f>(Table1[[#This Row],[Unit_Price]]-Table1[[#This Row],[Negotiated_Price]])/Table1[[#This Row],[Unit_Price]]</f>
        <v>5.2651806302843961E-2</v>
      </c>
      <c r="O74">
        <v>40</v>
      </c>
      <c r="P74" t="s">
        <v>15</v>
      </c>
      <c r="Q74">
        <f>IF(Table1[[#This Row],[Compliance]]="Yes", 1, 0)</f>
        <v>1</v>
      </c>
    </row>
    <row r="75" spans="1:17" x14ac:dyDescent="0.35">
      <c r="A75" t="s">
        <v>100</v>
      </c>
      <c r="B75" t="s">
        <v>12</v>
      </c>
      <c r="C75" s="1">
        <v>45212</v>
      </c>
      <c r="D75" s="1">
        <v>45227</v>
      </c>
      <c r="E75" s="1">
        <f>SUM(Table1[[#This Row],[Delivery_Date]]-Table1[[#This Row],[Order_Date]])</f>
        <v>15</v>
      </c>
      <c r="F75" t="s">
        <v>39</v>
      </c>
      <c r="G75" t="s">
        <v>18</v>
      </c>
      <c r="H75">
        <v>947</v>
      </c>
      <c r="I75" s="4">
        <v>56.25</v>
      </c>
      <c r="J75" s="4">
        <v>54.25</v>
      </c>
      <c r="K75" s="4">
        <f>Table1[[#This Row],[Quantity]]*Table1[[#This Row],[Negotiated_Price]]</f>
        <v>51374.75</v>
      </c>
      <c r="L75" s="4">
        <f>Table1[[#This Row],[Quantity]]*Table1[[#This Row],[Unit_Price]]</f>
        <v>53268.75</v>
      </c>
      <c r="M75" s="4">
        <f>Table1[[#This Row],[Unit_Price]]-Table1[[#This Row],[Negotiated_Price]]</f>
        <v>2</v>
      </c>
      <c r="N75" s="3">
        <f>(Table1[[#This Row],[Unit_Price]]-Table1[[#This Row],[Negotiated_Price]])/Table1[[#This Row],[Unit_Price]]</f>
        <v>3.5555555555555556E-2</v>
      </c>
      <c r="O75">
        <v>19</v>
      </c>
      <c r="P75" t="s">
        <v>15</v>
      </c>
      <c r="Q75">
        <f>IF(Table1[[#This Row],[Compliance]]="Yes", 1, 0)</f>
        <v>1</v>
      </c>
    </row>
    <row r="76" spans="1:17" x14ac:dyDescent="0.35">
      <c r="A76" t="s">
        <v>101</v>
      </c>
      <c r="B76" t="s">
        <v>29</v>
      </c>
      <c r="C76" s="1">
        <v>44935</v>
      </c>
      <c r="D76" s="1">
        <v>44954</v>
      </c>
      <c r="E76" s="1">
        <f>SUM(Table1[[#This Row],[Delivery_Date]]-Table1[[#This Row],[Order_Date]])</f>
        <v>19</v>
      </c>
      <c r="F76" t="s">
        <v>26</v>
      </c>
      <c r="G76" t="s">
        <v>18</v>
      </c>
      <c r="H76">
        <v>1413</v>
      </c>
      <c r="I76" s="4">
        <v>70.47</v>
      </c>
      <c r="J76" s="4">
        <v>69.650000000000006</v>
      </c>
      <c r="K76" s="4">
        <f>Table1[[#This Row],[Quantity]]*Table1[[#This Row],[Negotiated_Price]]</f>
        <v>98415.450000000012</v>
      </c>
      <c r="L76" s="4">
        <f>Table1[[#This Row],[Quantity]]*Table1[[#This Row],[Unit_Price]]</f>
        <v>99574.11</v>
      </c>
      <c r="M76" s="4">
        <f>Table1[[#This Row],[Unit_Price]]-Table1[[#This Row],[Negotiated_Price]]</f>
        <v>0.81999999999999318</v>
      </c>
      <c r="N76" s="3">
        <f>(Table1[[#This Row],[Unit_Price]]-Table1[[#This Row],[Negotiated_Price]])/Table1[[#This Row],[Unit_Price]]</f>
        <v>1.1636157230026865E-2</v>
      </c>
      <c r="P76" t="s">
        <v>15</v>
      </c>
      <c r="Q76">
        <f>IF(Table1[[#This Row],[Compliance]]="Yes", 1, 0)</f>
        <v>1</v>
      </c>
    </row>
    <row r="77" spans="1:17" hidden="1" x14ac:dyDescent="0.35">
      <c r="A77" t="s">
        <v>102</v>
      </c>
      <c r="B77" t="s">
        <v>12</v>
      </c>
      <c r="C77" s="1">
        <v>44728</v>
      </c>
      <c r="E77" s="1">
        <f>SUM(Table1[[#This Row],[Delivery_Date]]-Table1[[#This Row],[Order_Date]])</f>
        <v>-44728</v>
      </c>
      <c r="F77" t="s">
        <v>13</v>
      </c>
      <c r="G77" t="s">
        <v>33</v>
      </c>
      <c r="H77">
        <v>141</v>
      </c>
      <c r="I77">
        <v>64.150000000000006</v>
      </c>
      <c r="J77">
        <v>58.32</v>
      </c>
      <c r="K77">
        <f>Table1[[#This Row],[Quantity]]*Table1[[#This Row],[Negotiated_Price]]</f>
        <v>8223.1200000000008</v>
      </c>
      <c r="L77" s="5">
        <f>Table1[[#This Row],[Quantity]]*Table1[[#This Row],[Unit_Price]]</f>
        <v>9045.1500000000015</v>
      </c>
      <c r="M77">
        <f>Table1[[#This Row],[Unit_Price]]-Table1[[#This Row],[Negotiated_Price]]</f>
        <v>5.8300000000000054</v>
      </c>
      <c r="N77" s="2">
        <f>(Table1[[#This Row],[Unit_Price]]-Table1[[#This Row],[Negotiated_Price]])/Table1[[#This Row],[Unit_Price]]</f>
        <v>9.0880748246297813E-2</v>
      </c>
      <c r="P77" t="s">
        <v>15</v>
      </c>
      <c r="Q77">
        <f>IF(Table1[[#This Row],[Compliance]]="Yes", 1, 0)</f>
        <v>1</v>
      </c>
    </row>
    <row r="78" spans="1:17" x14ac:dyDescent="0.35">
      <c r="A78" t="s">
        <v>103</v>
      </c>
      <c r="B78" t="s">
        <v>12</v>
      </c>
      <c r="C78" s="1">
        <v>44941</v>
      </c>
      <c r="D78" s="1">
        <v>44961</v>
      </c>
      <c r="E78" s="1">
        <f>SUM(Table1[[#This Row],[Delivery_Date]]-Table1[[#This Row],[Order_Date]])</f>
        <v>20</v>
      </c>
      <c r="F78" t="s">
        <v>13</v>
      </c>
      <c r="G78" t="s">
        <v>18</v>
      </c>
      <c r="H78">
        <v>1440</v>
      </c>
      <c r="I78" s="4">
        <v>96.57</v>
      </c>
      <c r="J78" s="4">
        <v>83.87</v>
      </c>
      <c r="K78" s="4">
        <f>Table1[[#This Row],[Quantity]]*Table1[[#This Row],[Negotiated_Price]]</f>
        <v>120772.8</v>
      </c>
      <c r="L78" s="4">
        <f>Table1[[#This Row],[Quantity]]*Table1[[#This Row],[Unit_Price]]</f>
        <v>139060.79999999999</v>
      </c>
      <c r="M78" s="4">
        <f>Table1[[#This Row],[Unit_Price]]-Table1[[#This Row],[Negotiated_Price]]</f>
        <v>12.699999999999989</v>
      </c>
      <c r="N78" s="3">
        <f>(Table1[[#This Row],[Unit_Price]]-Table1[[#This Row],[Negotiated_Price]])/Table1[[#This Row],[Unit_Price]]</f>
        <v>0.13151082116599347</v>
      </c>
      <c r="O78">
        <v>36</v>
      </c>
      <c r="P78" t="s">
        <v>15</v>
      </c>
      <c r="Q78">
        <f>IF(Table1[[#This Row],[Compliance]]="Yes", 1, 0)</f>
        <v>1</v>
      </c>
    </row>
    <row r="79" spans="1:17" x14ac:dyDescent="0.35">
      <c r="A79" t="s">
        <v>104</v>
      </c>
      <c r="B79" t="s">
        <v>17</v>
      </c>
      <c r="C79" s="1">
        <v>44925</v>
      </c>
      <c r="D79" s="1">
        <v>44929</v>
      </c>
      <c r="E79" s="1">
        <f>SUM(Table1[[#This Row],[Delivery_Date]]-Table1[[#This Row],[Order_Date]])</f>
        <v>4</v>
      </c>
      <c r="F79" t="s">
        <v>26</v>
      </c>
      <c r="G79" t="s">
        <v>18</v>
      </c>
      <c r="H79">
        <v>1005</v>
      </c>
      <c r="I79" s="4">
        <v>14.87</v>
      </c>
      <c r="J79" s="4">
        <v>12.79</v>
      </c>
      <c r="K79" s="4">
        <f>Table1[[#This Row],[Quantity]]*Table1[[#This Row],[Negotiated_Price]]</f>
        <v>12853.949999999999</v>
      </c>
      <c r="L79" s="4">
        <f>Table1[[#This Row],[Quantity]]*Table1[[#This Row],[Unit_Price]]</f>
        <v>14944.349999999999</v>
      </c>
      <c r="M79" s="4">
        <f>Table1[[#This Row],[Unit_Price]]-Table1[[#This Row],[Negotiated_Price]]</f>
        <v>2.08</v>
      </c>
      <c r="N79" s="3">
        <f>(Table1[[#This Row],[Unit_Price]]-Table1[[#This Row],[Negotiated_Price]])/Table1[[#This Row],[Unit_Price]]</f>
        <v>0.1398789509078682</v>
      </c>
      <c r="P79" t="s">
        <v>27</v>
      </c>
      <c r="Q79">
        <f>IF(Table1[[#This Row],[Compliance]]="Yes", 1, 0)</f>
        <v>0</v>
      </c>
    </row>
    <row r="80" spans="1:17" hidden="1" x14ac:dyDescent="0.35">
      <c r="A80" t="s">
        <v>105</v>
      </c>
      <c r="B80" t="s">
        <v>12</v>
      </c>
      <c r="C80" s="1">
        <v>44776</v>
      </c>
      <c r="E80" s="1">
        <f>SUM(Table1[[#This Row],[Delivery_Date]]-Table1[[#This Row],[Order_Date]])</f>
        <v>-44776</v>
      </c>
      <c r="F80" t="s">
        <v>21</v>
      </c>
      <c r="G80" t="s">
        <v>18</v>
      </c>
      <c r="H80">
        <v>1528</v>
      </c>
      <c r="I80">
        <v>36.520000000000003</v>
      </c>
      <c r="J80">
        <v>33</v>
      </c>
      <c r="K80">
        <f>Table1[[#This Row],[Quantity]]*Table1[[#This Row],[Negotiated_Price]]</f>
        <v>50424</v>
      </c>
      <c r="L80" s="5">
        <f>Table1[[#This Row],[Quantity]]*Table1[[#This Row],[Unit_Price]]</f>
        <v>55802.560000000005</v>
      </c>
      <c r="M80">
        <f>Table1[[#This Row],[Unit_Price]]-Table1[[#This Row],[Negotiated_Price]]</f>
        <v>3.5200000000000031</v>
      </c>
      <c r="N80" s="2">
        <f>(Table1[[#This Row],[Unit_Price]]-Table1[[#This Row],[Negotiated_Price]])/Table1[[#This Row],[Unit_Price]]</f>
        <v>9.6385542168674773E-2</v>
      </c>
      <c r="O80">
        <v>31</v>
      </c>
      <c r="P80" t="s">
        <v>27</v>
      </c>
      <c r="Q80">
        <f>IF(Table1[[#This Row],[Compliance]]="Yes", 1, 0)</f>
        <v>0</v>
      </c>
    </row>
    <row r="81" spans="1:17" x14ac:dyDescent="0.35">
      <c r="A81" t="s">
        <v>106</v>
      </c>
      <c r="B81" t="s">
        <v>20</v>
      </c>
      <c r="C81" s="1">
        <v>45248</v>
      </c>
      <c r="D81" s="1">
        <v>45255</v>
      </c>
      <c r="E81" s="1">
        <f>SUM(Table1[[#This Row],[Delivery_Date]]-Table1[[#This Row],[Order_Date]])</f>
        <v>7</v>
      </c>
      <c r="F81" t="s">
        <v>21</v>
      </c>
      <c r="G81" t="s">
        <v>18</v>
      </c>
      <c r="H81">
        <v>1501</v>
      </c>
      <c r="I81" s="4">
        <v>106.05</v>
      </c>
      <c r="J81" s="4">
        <v>100.99</v>
      </c>
      <c r="K81" s="4">
        <f>Table1[[#This Row],[Quantity]]*Table1[[#This Row],[Negotiated_Price]]</f>
        <v>151585.99</v>
      </c>
      <c r="L81" s="4">
        <f>Table1[[#This Row],[Quantity]]*Table1[[#This Row],[Unit_Price]]</f>
        <v>159181.04999999999</v>
      </c>
      <c r="M81" s="4">
        <f>Table1[[#This Row],[Unit_Price]]-Table1[[#This Row],[Negotiated_Price]]</f>
        <v>5.0600000000000023</v>
      </c>
      <c r="N81" s="3">
        <f>(Table1[[#This Row],[Unit_Price]]-Table1[[#This Row],[Negotiated_Price]])/Table1[[#This Row],[Unit_Price]]</f>
        <v>4.7713342762847735E-2</v>
      </c>
      <c r="O81">
        <v>77</v>
      </c>
      <c r="P81" t="s">
        <v>27</v>
      </c>
      <c r="Q81">
        <f>IF(Table1[[#This Row],[Compliance]]="Yes", 1, 0)</f>
        <v>0</v>
      </c>
    </row>
    <row r="82" spans="1:17" x14ac:dyDescent="0.35">
      <c r="A82" t="s">
        <v>107</v>
      </c>
      <c r="B82" t="s">
        <v>17</v>
      </c>
      <c r="C82" s="1">
        <v>44835</v>
      </c>
      <c r="D82" s="1">
        <v>44838</v>
      </c>
      <c r="E82" s="1">
        <f>SUM(Table1[[#This Row],[Delivery_Date]]-Table1[[#This Row],[Order_Date]])</f>
        <v>3</v>
      </c>
      <c r="F82" t="s">
        <v>24</v>
      </c>
      <c r="G82" t="s">
        <v>18</v>
      </c>
      <c r="H82">
        <v>558</v>
      </c>
      <c r="I82" s="4">
        <v>94.18</v>
      </c>
      <c r="J82" s="4">
        <v>81.400000000000006</v>
      </c>
      <c r="K82" s="4">
        <f>Table1[[#This Row],[Quantity]]*Table1[[#This Row],[Negotiated_Price]]</f>
        <v>45421.200000000004</v>
      </c>
      <c r="L82" s="4">
        <f>Table1[[#This Row],[Quantity]]*Table1[[#This Row],[Unit_Price]]</f>
        <v>52552.44</v>
      </c>
      <c r="M82" s="4">
        <f>Table1[[#This Row],[Unit_Price]]-Table1[[#This Row],[Negotiated_Price]]</f>
        <v>12.780000000000001</v>
      </c>
      <c r="N82" s="3">
        <f>(Table1[[#This Row],[Unit_Price]]-Table1[[#This Row],[Negotiated_Price]])/Table1[[#This Row],[Unit_Price]]</f>
        <v>0.1356976003397749</v>
      </c>
      <c r="P82" t="s">
        <v>27</v>
      </c>
      <c r="Q82">
        <f>IF(Table1[[#This Row],[Compliance]]="Yes", 1, 0)</f>
        <v>0</v>
      </c>
    </row>
    <row r="83" spans="1:17" x14ac:dyDescent="0.35">
      <c r="A83" t="s">
        <v>108</v>
      </c>
      <c r="B83" t="s">
        <v>23</v>
      </c>
      <c r="C83" s="1">
        <v>45280</v>
      </c>
      <c r="D83" s="1">
        <v>45286</v>
      </c>
      <c r="E83" s="1">
        <f>SUM(Table1[[#This Row],[Delivery_Date]]-Table1[[#This Row],[Order_Date]])</f>
        <v>6</v>
      </c>
      <c r="F83" t="s">
        <v>21</v>
      </c>
      <c r="G83" t="s">
        <v>18</v>
      </c>
      <c r="H83">
        <v>825</v>
      </c>
      <c r="I83" s="4">
        <v>56.88</v>
      </c>
      <c r="J83" s="4">
        <v>50.84</v>
      </c>
      <c r="K83" s="4">
        <f>Table1[[#This Row],[Quantity]]*Table1[[#This Row],[Negotiated_Price]]</f>
        <v>41943</v>
      </c>
      <c r="L83" s="4">
        <f>Table1[[#This Row],[Quantity]]*Table1[[#This Row],[Unit_Price]]</f>
        <v>46926</v>
      </c>
      <c r="M83" s="4">
        <f>Table1[[#This Row],[Unit_Price]]-Table1[[#This Row],[Negotiated_Price]]</f>
        <v>6.0399999999999991</v>
      </c>
      <c r="N83" s="3">
        <f>(Table1[[#This Row],[Unit_Price]]-Table1[[#This Row],[Negotiated_Price]])/Table1[[#This Row],[Unit_Price]]</f>
        <v>0.10618846694796059</v>
      </c>
      <c r="P83" t="s">
        <v>15</v>
      </c>
      <c r="Q83">
        <f>IF(Table1[[#This Row],[Compliance]]="Yes", 1, 0)</f>
        <v>1</v>
      </c>
    </row>
    <row r="84" spans="1:17" x14ac:dyDescent="0.35">
      <c r="A84" t="s">
        <v>109</v>
      </c>
      <c r="B84" t="s">
        <v>23</v>
      </c>
      <c r="C84" s="1">
        <v>45261</v>
      </c>
      <c r="D84" s="1">
        <v>45267</v>
      </c>
      <c r="E84" s="1">
        <f>SUM(Table1[[#This Row],[Delivery_Date]]-Table1[[#This Row],[Order_Date]])</f>
        <v>6</v>
      </c>
      <c r="F84" t="s">
        <v>39</v>
      </c>
      <c r="G84" t="s">
        <v>14</v>
      </c>
      <c r="H84">
        <v>84</v>
      </c>
      <c r="I84" s="4">
        <v>73.38</v>
      </c>
      <c r="J84" s="4">
        <v>71.42</v>
      </c>
      <c r="K84" s="4">
        <f>Table1[[#This Row],[Quantity]]*Table1[[#This Row],[Negotiated_Price]]</f>
        <v>5999.28</v>
      </c>
      <c r="L84" s="4">
        <f>Table1[[#This Row],[Quantity]]*Table1[[#This Row],[Unit_Price]]</f>
        <v>6163.92</v>
      </c>
      <c r="M84" s="4">
        <f>Table1[[#This Row],[Unit_Price]]-Table1[[#This Row],[Negotiated_Price]]</f>
        <v>1.9599999999999937</v>
      </c>
      <c r="N84" s="3">
        <f>(Table1[[#This Row],[Unit_Price]]-Table1[[#This Row],[Negotiated_Price]])/Table1[[#This Row],[Unit_Price]]</f>
        <v>2.671027527936759E-2</v>
      </c>
      <c r="O84">
        <v>9</v>
      </c>
      <c r="P84" t="s">
        <v>15</v>
      </c>
      <c r="Q84">
        <f>IF(Table1[[#This Row],[Compliance]]="Yes", 1, 0)</f>
        <v>1</v>
      </c>
    </row>
    <row r="85" spans="1:17" x14ac:dyDescent="0.35">
      <c r="A85" t="s">
        <v>110</v>
      </c>
      <c r="B85" t="s">
        <v>17</v>
      </c>
      <c r="C85" s="1">
        <v>45225</v>
      </c>
      <c r="D85" s="1">
        <v>45240</v>
      </c>
      <c r="E85" s="1">
        <f>SUM(Table1[[#This Row],[Delivery_Date]]-Table1[[#This Row],[Order_Date]])</f>
        <v>15</v>
      </c>
      <c r="F85" t="s">
        <v>26</v>
      </c>
      <c r="G85" t="s">
        <v>18</v>
      </c>
      <c r="H85">
        <v>255</v>
      </c>
      <c r="I85" s="4">
        <v>38.64</v>
      </c>
      <c r="J85" s="4">
        <v>33.590000000000003</v>
      </c>
      <c r="K85" s="4">
        <f>Table1[[#This Row],[Quantity]]*Table1[[#This Row],[Negotiated_Price]]</f>
        <v>8565.4500000000007</v>
      </c>
      <c r="L85" s="4">
        <f>Table1[[#This Row],[Quantity]]*Table1[[#This Row],[Unit_Price]]</f>
        <v>9853.2000000000007</v>
      </c>
      <c r="M85" s="4">
        <f>Table1[[#This Row],[Unit_Price]]-Table1[[#This Row],[Negotiated_Price]]</f>
        <v>5.0499999999999972</v>
      </c>
      <c r="N85" s="3">
        <f>(Table1[[#This Row],[Unit_Price]]-Table1[[#This Row],[Negotiated_Price]])/Table1[[#This Row],[Unit_Price]]</f>
        <v>0.13069358178053822</v>
      </c>
      <c r="O85">
        <v>27</v>
      </c>
      <c r="P85" t="s">
        <v>27</v>
      </c>
      <c r="Q85">
        <f>IF(Table1[[#This Row],[Compliance]]="Yes", 1, 0)</f>
        <v>0</v>
      </c>
    </row>
    <row r="86" spans="1:17" x14ac:dyDescent="0.35">
      <c r="A86" t="s">
        <v>111</v>
      </c>
      <c r="B86" t="s">
        <v>20</v>
      </c>
      <c r="C86" s="1">
        <v>44635</v>
      </c>
      <c r="D86" s="1">
        <v>44651</v>
      </c>
      <c r="E86" s="1">
        <f>SUM(Table1[[#This Row],[Delivery_Date]]-Table1[[#This Row],[Order_Date]])</f>
        <v>16</v>
      </c>
      <c r="F86" t="s">
        <v>21</v>
      </c>
      <c r="G86" t="s">
        <v>18</v>
      </c>
      <c r="H86">
        <v>1154</v>
      </c>
      <c r="I86" s="4">
        <v>27.2</v>
      </c>
      <c r="J86" s="4">
        <v>26.07</v>
      </c>
      <c r="K86" s="4">
        <f>Table1[[#This Row],[Quantity]]*Table1[[#This Row],[Negotiated_Price]]</f>
        <v>30084.78</v>
      </c>
      <c r="L86" s="4">
        <f>Table1[[#This Row],[Quantity]]*Table1[[#This Row],[Unit_Price]]</f>
        <v>31388.799999999999</v>
      </c>
      <c r="M86" s="4">
        <f>Table1[[#This Row],[Unit_Price]]-Table1[[#This Row],[Negotiated_Price]]</f>
        <v>1.129999999999999</v>
      </c>
      <c r="N86" s="3">
        <f>(Table1[[#This Row],[Unit_Price]]-Table1[[#This Row],[Negotiated_Price]])/Table1[[#This Row],[Unit_Price]]</f>
        <v>4.1544117647058787E-2</v>
      </c>
      <c r="O86">
        <v>58</v>
      </c>
      <c r="P86" t="s">
        <v>15</v>
      </c>
      <c r="Q86">
        <f>IF(Table1[[#This Row],[Compliance]]="Yes", 1, 0)</f>
        <v>1</v>
      </c>
    </row>
    <row r="87" spans="1:17" x14ac:dyDescent="0.35">
      <c r="A87" t="s">
        <v>112</v>
      </c>
      <c r="B87" t="s">
        <v>17</v>
      </c>
      <c r="C87" s="1">
        <v>45185</v>
      </c>
      <c r="D87" s="1">
        <v>45193</v>
      </c>
      <c r="E87" s="1">
        <f>SUM(Table1[[#This Row],[Delivery_Date]]-Table1[[#This Row],[Order_Date]])</f>
        <v>8</v>
      </c>
      <c r="F87" t="s">
        <v>13</v>
      </c>
      <c r="G87" t="s">
        <v>18</v>
      </c>
      <c r="H87">
        <v>1635</v>
      </c>
      <c r="I87" s="4">
        <v>56.91</v>
      </c>
      <c r="J87" s="4">
        <v>54.37</v>
      </c>
      <c r="K87" s="4">
        <f>Table1[[#This Row],[Quantity]]*Table1[[#This Row],[Negotiated_Price]]</f>
        <v>88894.95</v>
      </c>
      <c r="L87" s="4">
        <f>Table1[[#This Row],[Quantity]]*Table1[[#This Row],[Unit_Price]]</f>
        <v>93047.849999999991</v>
      </c>
      <c r="M87" s="4">
        <f>Table1[[#This Row],[Unit_Price]]-Table1[[#This Row],[Negotiated_Price]]</f>
        <v>2.5399999999999991</v>
      </c>
      <c r="N87" s="3">
        <f>(Table1[[#This Row],[Unit_Price]]-Table1[[#This Row],[Negotiated_Price]])/Table1[[#This Row],[Unit_Price]]</f>
        <v>4.4631874890177461E-2</v>
      </c>
      <c r="O87">
        <v>262</v>
      </c>
      <c r="P87" t="s">
        <v>27</v>
      </c>
      <c r="Q87">
        <f>IF(Table1[[#This Row],[Compliance]]="Yes", 1, 0)</f>
        <v>0</v>
      </c>
    </row>
    <row r="88" spans="1:17" x14ac:dyDescent="0.35">
      <c r="A88" t="s">
        <v>113</v>
      </c>
      <c r="B88" t="s">
        <v>17</v>
      </c>
      <c r="C88" s="1">
        <v>45212</v>
      </c>
      <c r="D88" s="1">
        <v>45222</v>
      </c>
      <c r="E88" s="1">
        <f>SUM(Table1[[#This Row],[Delivery_Date]]-Table1[[#This Row],[Order_Date]])</f>
        <v>10</v>
      </c>
      <c r="F88" t="s">
        <v>26</v>
      </c>
      <c r="G88" t="s">
        <v>18</v>
      </c>
      <c r="H88">
        <v>1945</v>
      </c>
      <c r="I88" s="4">
        <v>46.19</v>
      </c>
      <c r="J88" s="4">
        <v>40.119999999999997</v>
      </c>
      <c r="K88" s="4">
        <f>Table1[[#This Row],[Quantity]]*Table1[[#This Row],[Negotiated_Price]]</f>
        <v>78033.399999999994</v>
      </c>
      <c r="L88" s="4">
        <f>Table1[[#This Row],[Quantity]]*Table1[[#This Row],[Unit_Price]]</f>
        <v>89839.549999999988</v>
      </c>
      <c r="M88" s="4">
        <f>Table1[[#This Row],[Unit_Price]]-Table1[[#This Row],[Negotiated_Price]]</f>
        <v>6.07</v>
      </c>
      <c r="N88" s="3">
        <f>(Table1[[#This Row],[Unit_Price]]-Table1[[#This Row],[Negotiated_Price]])/Table1[[#This Row],[Unit_Price]]</f>
        <v>0.13141372591470016</v>
      </c>
      <c r="O88">
        <v>278</v>
      </c>
      <c r="P88" t="s">
        <v>27</v>
      </c>
      <c r="Q88">
        <f>IF(Table1[[#This Row],[Compliance]]="Yes", 1, 0)</f>
        <v>0</v>
      </c>
    </row>
    <row r="89" spans="1:17" x14ac:dyDescent="0.35">
      <c r="A89" t="s">
        <v>114</v>
      </c>
      <c r="B89" t="s">
        <v>17</v>
      </c>
      <c r="C89" s="1">
        <v>44737</v>
      </c>
      <c r="D89" s="1">
        <v>44752</v>
      </c>
      <c r="E89" s="1">
        <f>SUM(Table1[[#This Row],[Delivery_Date]]-Table1[[#This Row],[Order_Date]])</f>
        <v>15</v>
      </c>
      <c r="F89" t="s">
        <v>21</v>
      </c>
      <c r="G89" t="s">
        <v>33</v>
      </c>
      <c r="H89">
        <v>1461</v>
      </c>
      <c r="I89" s="4">
        <v>64.09</v>
      </c>
      <c r="J89" s="4">
        <v>63.39</v>
      </c>
      <c r="K89" s="4">
        <f>Table1[[#This Row],[Quantity]]*Table1[[#This Row],[Negotiated_Price]]</f>
        <v>92612.79</v>
      </c>
      <c r="L89" s="4">
        <f>Table1[[#This Row],[Quantity]]*Table1[[#This Row],[Unit_Price]]</f>
        <v>93635.49</v>
      </c>
      <c r="M89" s="4">
        <f>Table1[[#This Row],[Unit_Price]]-Table1[[#This Row],[Negotiated_Price]]</f>
        <v>0.70000000000000284</v>
      </c>
      <c r="N89" s="3">
        <f>(Table1[[#This Row],[Unit_Price]]-Table1[[#This Row],[Negotiated_Price]])/Table1[[#This Row],[Unit_Price]]</f>
        <v>1.0922140739585003E-2</v>
      </c>
      <c r="O89">
        <v>228</v>
      </c>
      <c r="P89" t="s">
        <v>27</v>
      </c>
      <c r="Q89">
        <f>IF(Table1[[#This Row],[Compliance]]="Yes", 1, 0)</f>
        <v>0</v>
      </c>
    </row>
    <row r="90" spans="1:17" x14ac:dyDescent="0.35">
      <c r="A90" t="s">
        <v>115</v>
      </c>
      <c r="B90" t="s">
        <v>17</v>
      </c>
      <c r="C90" s="1">
        <v>45108</v>
      </c>
      <c r="D90" s="1">
        <v>45116</v>
      </c>
      <c r="E90" s="1">
        <f>SUM(Table1[[#This Row],[Delivery_Date]]-Table1[[#This Row],[Order_Date]])</f>
        <v>8</v>
      </c>
      <c r="F90" t="s">
        <v>39</v>
      </c>
      <c r="G90" t="s">
        <v>18</v>
      </c>
      <c r="H90">
        <v>1075</v>
      </c>
      <c r="I90" s="4">
        <v>18.53</v>
      </c>
      <c r="J90" s="4">
        <v>16.12</v>
      </c>
      <c r="K90" s="4">
        <f>Table1[[#This Row],[Quantity]]*Table1[[#This Row],[Negotiated_Price]]</f>
        <v>17329</v>
      </c>
      <c r="L90" s="4">
        <f>Table1[[#This Row],[Quantity]]*Table1[[#This Row],[Unit_Price]]</f>
        <v>19919.75</v>
      </c>
      <c r="M90" s="4">
        <f>Table1[[#This Row],[Unit_Price]]-Table1[[#This Row],[Negotiated_Price]]</f>
        <v>2.41</v>
      </c>
      <c r="N90" s="3">
        <f>(Table1[[#This Row],[Unit_Price]]-Table1[[#This Row],[Negotiated_Price]])/Table1[[#This Row],[Unit_Price]]</f>
        <v>0.1300593631948192</v>
      </c>
      <c r="O90">
        <v>147</v>
      </c>
      <c r="P90" t="s">
        <v>15</v>
      </c>
      <c r="Q90">
        <f>IF(Table1[[#This Row],[Compliance]]="Yes", 1, 0)</f>
        <v>1</v>
      </c>
    </row>
    <row r="91" spans="1:17" hidden="1" x14ac:dyDescent="0.35">
      <c r="A91" t="s">
        <v>116</v>
      </c>
      <c r="B91" t="s">
        <v>12</v>
      </c>
      <c r="C91" s="1">
        <v>44812</v>
      </c>
      <c r="E91" s="1">
        <f>SUM(Table1[[#This Row],[Delivery_Date]]-Table1[[#This Row],[Order_Date]])</f>
        <v>-44812</v>
      </c>
      <c r="F91" t="s">
        <v>24</v>
      </c>
      <c r="G91" t="s">
        <v>18</v>
      </c>
      <c r="H91">
        <v>1071</v>
      </c>
      <c r="I91">
        <v>101.6</v>
      </c>
      <c r="J91">
        <v>93.91</v>
      </c>
      <c r="K91">
        <f>Table1[[#This Row],[Quantity]]*Table1[[#This Row],[Negotiated_Price]]</f>
        <v>100577.61</v>
      </c>
      <c r="L91" s="5">
        <f>Table1[[#This Row],[Quantity]]*Table1[[#This Row],[Unit_Price]]</f>
        <v>108813.59999999999</v>
      </c>
      <c r="M91">
        <f>Table1[[#This Row],[Unit_Price]]-Table1[[#This Row],[Negotiated_Price]]</f>
        <v>7.6899999999999977</v>
      </c>
      <c r="N91" s="2">
        <f>(Table1[[#This Row],[Unit_Price]]-Table1[[#This Row],[Negotiated_Price]])/Table1[[#This Row],[Unit_Price]]</f>
        <v>7.5688976377952744E-2</v>
      </c>
      <c r="O91">
        <v>25</v>
      </c>
      <c r="P91" t="s">
        <v>15</v>
      </c>
      <c r="Q91">
        <f>IF(Table1[[#This Row],[Compliance]]="Yes", 1, 0)</f>
        <v>1</v>
      </c>
    </row>
    <row r="92" spans="1:17" x14ac:dyDescent="0.35">
      <c r="A92" t="s">
        <v>117</v>
      </c>
      <c r="B92" t="s">
        <v>29</v>
      </c>
      <c r="C92" s="1">
        <v>44729</v>
      </c>
      <c r="D92" s="1">
        <v>44748</v>
      </c>
      <c r="E92" s="1">
        <f>SUM(Table1[[#This Row],[Delivery_Date]]-Table1[[#This Row],[Order_Date]])</f>
        <v>19</v>
      </c>
      <c r="F92" t="s">
        <v>24</v>
      </c>
      <c r="G92" t="s">
        <v>35</v>
      </c>
      <c r="H92">
        <v>1463</v>
      </c>
      <c r="I92" s="4">
        <v>101.23</v>
      </c>
      <c r="J92" s="4">
        <v>86.17</v>
      </c>
      <c r="K92" s="4">
        <f>Table1[[#This Row],[Quantity]]*Table1[[#This Row],[Negotiated_Price]]</f>
        <v>126066.71</v>
      </c>
      <c r="L92" s="4">
        <f>Table1[[#This Row],[Quantity]]*Table1[[#This Row],[Unit_Price]]</f>
        <v>148099.49000000002</v>
      </c>
      <c r="M92" s="4">
        <f>Table1[[#This Row],[Unit_Price]]-Table1[[#This Row],[Negotiated_Price]]</f>
        <v>15.060000000000002</v>
      </c>
      <c r="N92" s="3">
        <f>(Table1[[#This Row],[Unit_Price]]-Table1[[#This Row],[Negotiated_Price]])/Table1[[#This Row],[Unit_Price]]</f>
        <v>0.14877012743257928</v>
      </c>
      <c r="O92">
        <v>43</v>
      </c>
      <c r="P92" t="s">
        <v>15</v>
      </c>
      <c r="Q92">
        <f>IF(Table1[[#This Row],[Compliance]]="Yes", 1, 0)</f>
        <v>1</v>
      </c>
    </row>
    <row r="93" spans="1:17" x14ac:dyDescent="0.35">
      <c r="A93" t="s">
        <v>118</v>
      </c>
      <c r="B93" t="s">
        <v>23</v>
      </c>
      <c r="C93" s="1">
        <v>45035</v>
      </c>
      <c r="D93" s="1">
        <v>45042</v>
      </c>
      <c r="E93" s="1">
        <f>SUM(Table1[[#This Row],[Delivery_Date]]-Table1[[#This Row],[Order_Date]])</f>
        <v>7</v>
      </c>
      <c r="F93" t="s">
        <v>26</v>
      </c>
      <c r="G93" t="s">
        <v>18</v>
      </c>
      <c r="H93">
        <v>615</v>
      </c>
      <c r="I93" s="4">
        <v>78.3</v>
      </c>
      <c r="J93" s="4">
        <v>73.680000000000007</v>
      </c>
      <c r="K93" s="4">
        <f>Table1[[#This Row],[Quantity]]*Table1[[#This Row],[Negotiated_Price]]</f>
        <v>45313.200000000004</v>
      </c>
      <c r="L93" s="4">
        <f>Table1[[#This Row],[Quantity]]*Table1[[#This Row],[Unit_Price]]</f>
        <v>48154.5</v>
      </c>
      <c r="M93" s="4">
        <f>Table1[[#This Row],[Unit_Price]]-Table1[[#This Row],[Negotiated_Price]]</f>
        <v>4.6199999999999903</v>
      </c>
      <c r="N93" s="3">
        <f>(Table1[[#This Row],[Unit_Price]]-Table1[[#This Row],[Negotiated_Price]])/Table1[[#This Row],[Unit_Price]]</f>
        <v>5.90038314176244E-2</v>
      </c>
      <c r="O93">
        <v>69</v>
      </c>
      <c r="P93" t="s">
        <v>15</v>
      </c>
      <c r="Q93">
        <f>IF(Table1[[#This Row],[Compliance]]="Yes", 1, 0)</f>
        <v>1</v>
      </c>
    </row>
    <row r="94" spans="1:17" x14ac:dyDescent="0.35">
      <c r="A94" t="s">
        <v>119</v>
      </c>
      <c r="B94" t="s">
        <v>20</v>
      </c>
      <c r="C94" s="1">
        <v>44950</v>
      </c>
      <c r="D94" s="1">
        <v>44968</v>
      </c>
      <c r="E94" s="1">
        <f>SUM(Table1[[#This Row],[Delivery_Date]]-Table1[[#This Row],[Order_Date]])</f>
        <v>18</v>
      </c>
      <c r="F94" t="s">
        <v>39</v>
      </c>
      <c r="G94" t="s">
        <v>18</v>
      </c>
      <c r="H94">
        <v>1179</v>
      </c>
      <c r="I94" s="4">
        <v>61.74</v>
      </c>
      <c r="J94" s="4">
        <v>56.28</v>
      </c>
      <c r="K94" s="4">
        <f>Table1[[#This Row],[Quantity]]*Table1[[#This Row],[Negotiated_Price]]</f>
        <v>66354.12</v>
      </c>
      <c r="L94" s="4">
        <f>Table1[[#This Row],[Quantity]]*Table1[[#This Row],[Unit_Price]]</f>
        <v>72791.460000000006</v>
      </c>
      <c r="M94" s="4">
        <f>Table1[[#This Row],[Unit_Price]]-Table1[[#This Row],[Negotiated_Price]]</f>
        <v>5.4600000000000009</v>
      </c>
      <c r="N94" s="3">
        <f>(Table1[[#This Row],[Unit_Price]]-Table1[[#This Row],[Negotiated_Price]])/Table1[[#This Row],[Unit_Price]]</f>
        <v>8.8435374149659879E-2</v>
      </c>
      <c r="P94" t="s">
        <v>15</v>
      </c>
      <c r="Q94">
        <f>IF(Table1[[#This Row],[Compliance]]="Yes", 1, 0)</f>
        <v>1</v>
      </c>
    </row>
    <row r="95" spans="1:17" x14ac:dyDescent="0.35">
      <c r="A95" t="s">
        <v>120</v>
      </c>
      <c r="B95" t="s">
        <v>12</v>
      </c>
      <c r="C95" s="1">
        <v>44838</v>
      </c>
      <c r="D95" s="1">
        <v>44843</v>
      </c>
      <c r="E95" s="1">
        <f>SUM(Table1[[#This Row],[Delivery_Date]]-Table1[[#This Row],[Order_Date]])</f>
        <v>5</v>
      </c>
      <c r="F95" t="s">
        <v>39</v>
      </c>
      <c r="G95" t="s">
        <v>33</v>
      </c>
      <c r="H95">
        <v>1845</v>
      </c>
      <c r="I95" s="4">
        <v>39.56</v>
      </c>
      <c r="J95" s="4">
        <v>37.630000000000003</v>
      </c>
      <c r="K95" s="4">
        <f>Table1[[#This Row],[Quantity]]*Table1[[#This Row],[Negotiated_Price]]</f>
        <v>69427.350000000006</v>
      </c>
      <c r="L95" s="4">
        <f>Table1[[#This Row],[Quantity]]*Table1[[#This Row],[Unit_Price]]</f>
        <v>72988.2</v>
      </c>
      <c r="M95" s="4">
        <f>Table1[[#This Row],[Unit_Price]]-Table1[[#This Row],[Negotiated_Price]]</f>
        <v>1.9299999999999997</v>
      </c>
      <c r="N95" s="3">
        <f>(Table1[[#This Row],[Unit_Price]]-Table1[[#This Row],[Negotiated_Price]])/Table1[[#This Row],[Unit_Price]]</f>
        <v>4.8786653185035382E-2</v>
      </c>
      <c r="O95">
        <v>45</v>
      </c>
      <c r="P95" t="s">
        <v>15</v>
      </c>
      <c r="Q95">
        <f>IF(Table1[[#This Row],[Compliance]]="Yes", 1, 0)</f>
        <v>1</v>
      </c>
    </row>
    <row r="96" spans="1:17" hidden="1" x14ac:dyDescent="0.35">
      <c r="A96" t="s">
        <v>121</v>
      </c>
      <c r="B96" t="s">
        <v>23</v>
      </c>
      <c r="C96" s="1">
        <v>45217</v>
      </c>
      <c r="E96" s="1">
        <f>SUM(Table1[[#This Row],[Delivery_Date]]-Table1[[#This Row],[Order_Date]])</f>
        <v>-45217</v>
      </c>
      <c r="F96" t="s">
        <v>39</v>
      </c>
      <c r="G96" t="s">
        <v>14</v>
      </c>
      <c r="H96">
        <v>1895</v>
      </c>
      <c r="I96">
        <v>91.98</v>
      </c>
      <c r="J96">
        <v>86.27</v>
      </c>
      <c r="K96">
        <f>Table1[[#This Row],[Quantity]]*Table1[[#This Row],[Negotiated_Price]]</f>
        <v>163481.65</v>
      </c>
      <c r="L96" s="5">
        <f>Table1[[#This Row],[Quantity]]*Table1[[#This Row],[Unit_Price]]</f>
        <v>174302.1</v>
      </c>
      <c r="M96">
        <f>Table1[[#This Row],[Unit_Price]]-Table1[[#This Row],[Negotiated_Price]]</f>
        <v>5.710000000000008</v>
      </c>
      <c r="N96" s="2">
        <f>(Table1[[#This Row],[Unit_Price]]-Table1[[#This Row],[Negotiated_Price]])/Table1[[#This Row],[Unit_Price]]</f>
        <v>6.2078712763644357E-2</v>
      </c>
      <c r="O96">
        <v>170</v>
      </c>
      <c r="P96" t="s">
        <v>15</v>
      </c>
      <c r="Q96">
        <f>IF(Table1[[#This Row],[Compliance]]="Yes", 1, 0)</f>
        <v>1</v>
      </c>
    </row>
    <row r="97" spans="1:17" x14ac:dyDescent="0.35">
      <c r="A97" t="s">
        <v>122</v>
      </c>
      <c r="B97" t="s">
        <v>29</v>
      </c>
      <c r="C97" s="1">
        <v>45266</v>
      </c>
      <c r="D97" s="1">
        <v>45269</v>
      </c>
      <c r="E97" s="1">
        <f>SUM(Table1[[#This Row],[Delivery_Date]]-Table1[[#This Row],[Order_Date]])</f>
        <v>3</v>
      </c>
      <c r="F97" t="s">
        <v>21</v>
      </c>
      <c r="G97" t="s">
        <v>33</v>
      </c>
      <c r="H97">
        <v>1550</v>
      </c>
      <c r="I97" s="4">
        <v>79.86</v>
      </c>
      <c r="J97" s="4">
        <v>69.569999999999993</v>
      </c>
      <c r="K97" s="4">
        <f>Table1[[#This Row],[Quantity]]*Table1[[#This Row],[Negotiated_Price]]</f>
        <v>107833.49999999999</v>
      </c>
      <c r="L97" s="4">
        <f>Table1[[#This Row],[Quantity]]*Table1[[#This Row],[Unit_Price]]</f>
        <v>123783</v>
      </c>
      <c r="M97" s="4">
        <f>Table1[[#This Row],[Unit_Price]]-Table1[[#This Row],[Negotiated_Price]]</f>
        <v>10.290000000000006</v>
      </c>
      <c r="N97" s="3">
        <f>(Table1[[#This Row],[Unit_Price]]-Table1[[#This Row],[Negotiated_Price]])/Table1[[#This Row],[Unit_Price]]</f>
        <v>0.12885048835462065</v>
      </c>
      <c r="O97">
        <v>32</v>
      </c>
      <c r="P97" t="s">
        <v>27</v>
      </c>
      <c r="Q97">
        <f>IF(Table1[[#This Row],[Compliance]]="Yes", 1, 0)</f>
        <v>0</v>
      </c>
    </row>
    <row r="98" spans="1:17" x14ac:dyDescent="0.35">
      <c r="A98" t="s">
        <v>123</v>
      </c>
      <c r="B98" t="s">
        <v>17</v>
      </c>
      <c r="C98" s="1">
        <v>45132</v>
      </c>
      <c r="D98" s="1">
        <v>45142</v>
      </c>
      <c r="E98" s="1">
        <f>SUM(Table1[[#This Row],[Delivery_Date]]-Table1[[#This Row],[Order_Date]])</f>
        <v>10</v>
      </c>
      <c r="F98" t="s">
        <v>24</v>
      </c>
      <c r="G98" t="s">
        <v>18</v>
      </c>
      <c r="H98">
        <v>752</v>
      </c>
      <c r="I98" s="4">
        <v>26.85</v>
      </c>
      <c r="J98" s="4">
        <v>24.37</v>
      </c>
      <c r="K98" s="4">
        <f>Table1[[#This Row],[Quantity]]*Table1[[#This Row],[Negotiated_Price]]</f>
        <v>18326.240000000002</v>
      </c>
      <c r="L98" s="4">
        <f>Table1[[#This Row],[Quantity]]*Table1[[#This Row],[Unit_Price]]</f>
        <v>20191.2</v>
      </c>
      <c r="M98" s="4">
        <f>Table1[[#This Row],[Unit_Price]]-Table1[[#This Row],[Negotiated_Price]]</f>
        <v>2.4800000000000004</v>
      </c>
      <c r="N98" s="3">
        <f>(Table1[[#This Row],[Unit_Price]]-Table1[[#This Row],[Negotiated_Price]])/Table1[[#This Row],[Unit_Price]]</f>
        <v>9.2364990689013049E-2</v>
      </c>
      <c r="P98" t="s">
        <v>27</v>
      </c>
      <c r="Q98">
        <f>IF(Table1[[#This Row],[Compliance]]="Yes", 1, 0)</f>
        <v>0</v>
      </c>
    </row>
    <row r="99" spans="1:17" x14ac:dyDescent="0.35">
      <c r="A99" t="s">
        <v>124</v>
      </c>
      <c r="B99" t="s">
        <v>29</v>
      </c>
      <c r="C99" s="1">
        <v>44786</v>
      </c>
      <c r="D99" s="1">
        <v>44805</v>
      </c>
      <c r="E99" s="1">
        <f>SUM(Table1[[#This Row],[Delivery_Date]]-Table1[[#This Row],[Order_Date]])</f>
        <v>19</v>
      </c>
      <c r="F99" t="s">
        <v>39</v>
      </c>
      <c r="G99" t="s">
        <v>18</v>
      </c>
      <c r="H99">
        <v>451</v>
      </c>
      <c r="I99" s="4">
        <v>95.2</v>
      </c>
      <c r="J99" s="4">
        <v>90.07</v>
      </c>
      <c r="K99" s="4">
        <f>Table1[[#This Row],[Quantity]]*Table1[[#This Row],[Negotiated_Price]]</f>
        <v>40621.57</v>
      </c>
      <c r="L99" s="4">
        <f>Table1[[#This Row],[Quantity]]*Table1[[#This Row],[Unit_Price]]</f>
        <v>42935.200000000004</v>
      </c>
      <c r="M99" s="4">
        <f>Table1[[#This Row],[Unit_Price]]-Table1[[#This Row],[Negotiated_Price]]</f>
        <v>5.1300000000000097</v>
      </c>
      <c r="N99" s="3">
        <f>(Table1[[#This Row],[Unit_Price]]-Table1[[#This Row],[Negotiated_Price]])/Table1[[#This Row],[Unit_Price]]</f>
        <v>5.3886554621848839E-2</v>
      </c>
      <c r="O99">
        <v>21</v>
      </c>
      <c r="P99" t="s">
        <v>15</v>
      </c>
      <c r="Q99">
        <f>IF(Table1[[#This Row],[Compliance]]="Yes", 1, 0)</f>
        <v>1</v>
      </c>
    </row>
    <row r="100" spans="1:17" hidden="1" x14ac:dyDescent="0.35">
      <c r="A100" t="s">
        <v>125</v>
      </c>
      <c r="B100" t="s">
        <v>23</v>
      </c>
      <c r="C100" s="1">
        <v>45263</v>
      </c>
      <c r="E100" s="1">
        <f>SUM(Table1[[#This Row],[Delivery_Date]]-Table1[[#This Row],[Order_Date]])</f>
        <v>-45263</v>
      </c>
      <c r="F100" t="s">
        <v>13</v>
      </c>
      <c r="G100" t="s">
        <v>18</v>
      </c>
      <c r="H100">
        <v>779</v>
      </c>
      <c r="I100">
        <v>93.69</v>
      </c>
      <c r="J100">
        <v>90.92</v>
      </c>
      <c r="K100">
        <f>Table1[[#This Row],[Quantity]]*Table1[[#This Row],[Negotiated_Price]]</f>
        <v>70826.680000000008</v>
      </c>
      <c r="L100" s="5">
        <f>Table1[[#This Row],[Quantity]]*Table1[[#This Row],[Unit_Price]]</f>
        <v>72984.509999999995</v>
      </c>
      <c r="M100">
        <f>Table1[[#This Row],[Unit_Price]]-Table1[[#This Row],[Negotiated_Price]]</f>
        <v>2.769999999999996</v>
      </c>
      <c r="N100" s="2">
        <f>(Table1[[#This Row],[Unit_Price]]-Table1[[#This Row],[Negotiated_Price]])/Table1[[#This Row],[Unit_Price]]</f>
        <v>2.9565588643398401E-2</v>
      </c>
      <c r="O100">
        <v>66</v>
      </c>
      <c r="P100" t="s">
        <v>15</v>
      </c>
      <c r="Q100">
        <f>IF(Table1[[#This Row],[Compliance]]="Yes", 1, 0)</f>
        <v>1</v>
      </c>
    </row>
    <row r="101" spans="1:17" x14ac:dyDescent="0.35">
      <c r="A101" t="s">
        <v>126</v>
      </c>
      <c r="B101" t="s">
        <v>23</v>
      </c>
      <c r="C101" s="1">
        <v>44894</v>
      </c>
      <c r="D101" s="1">
        <v>44909</v>
      </c>
      <c r="E101" s="1">
        <f>SUM(Table1[[#This Row],[Delivery_Date]]-Table1[[#This Row],[Order_Date]])</f>
        <v>15</v>
      </c>
      <c r="F101" t="s">
        <v>21</v>
      </c>
      <c r="G101" t="s">
        <v>35</v>
      </c>
      <c r="H101">
        <v>1629</v>
      </c>
      <c r="I101" s="4">
        <v>100.26</v>
      </c>
      <c r="J101" s="4">
        <v>86.44</v>
      </c>
      <c r="K101" s="4">
        <f>Table1[[#This Row],[Quantity]]*Table1[[#This Row],[Negotiated_Price]]</f>
        <v>140810.76</v>
      </c>
      <c r="L101" s="4">
        <f>Table1[[#This Row],[Quantity]]*Table1[[#This Row],[Unit_Price]]</f>
        <v>163323.54</v>
      </c>
      <c r="M101" s="4">
        <f>Table1[[#This Row],[Unit_Price]]-Table1[[#This Row],[Negotiated_Price]]</f>
        <v>13.820000000000007</v>
      </c>
      <c r="N101" s="3">
        <f>(Table1[[#This Row],[Unit_Price]]-Table1[[#This Row],[Negotiated_Price]])/Table1[[#This Row],[Unit_Price]]</f>
        <v>0.13784161180929591</v>
      </c>
      <c r="O101">
        <v>187</v>
      </c>
      <c r="P101" t="s">
        <v>27</v>
      </c>
      <c r="Q101">
        <f>IF(Table1[[#This Row],[Compliance]]="Yes", 1, 0)</f>
        <v>0</v>
      </c>
    </row>
    <row r="102" spans="1:17" x14ac:dyDescent="0.35">
      <c r="A102" t="s">
        <v>127</v>
      </c>
      <c r="B102" t="s">
        <v>12</v>
      </c>
      <c r="C102" s="1">
        <v>44619</v>
      </c>
      <c r="D102" s="1">
        <v>44614</v>
      </c>
      <c r="E102" s="1">
        <f>SUM(Table1[[#This Row],[Delivery_Date]]-Table1[[#This Row],[Order_Date]])</f>
        <v>-5</v>
      </c>
      <c r="F102" t="s">
        <v>13</v>
      </c>
      <c r="G102" t="s">
        <v>18</v>
      </c>
      <c r="H102">
        <v>211</v>
      </c>
      <c r="I102" s="4">
        <v>75.69</v>
      </c>
      <c r="J102" s="4">
        <v>65.400000000000006</v>
      </c>
      <c r="K102" s="4">
        <f>Table1[[#This Row],[Quantity]]*Table1[[#This Row],[Negotiated_Price]]</f>
        <v>13799.400000000001</v>
      </c>
      <c r="L102" s="4">
        <f>Table1[[#This Row],[Quantity]]*Table1[[#This Row],[Unit_Price]]</f>
        <v>15970.59</v>
      </c>
      <c r="M102" s="4">
        <f>Table1[[#This Row],[Unit_Price]]-Table1[[#This Row],[Negotiated_Price]]</f>
        <v>10.289999999999992</v>
      </c>
      <c r="N102" s="3">
        <f>(Table1[[#This Row],[Unit_Price]]-Table1[[#This Row],[Negotiated_Price]])/Table1[[#This Row],[Unit_Price]]</f>
        <v>0.13594926674593727</v>
      </c>
      <c r="O102">
        <v>2</v>
      </c>
      <c r="P102" t="s">
        <v>15</v>
      </c>
      <c r="Q102">
        <f>IF(Table1[[#This Row],[Compliance]]="Yes", 1, 0)</f>
        <v>1</v>
      </c>
    </row>
    <row r="103" spans="1:17" hidden="1" x14ac:dyDescent="0.35">
      <c r="A103" t="s">
        <v>128</v>
      </c>
      <c r="B103" t="s">
        <v>12</v>
      </c>
      <c r="C103" s="1">
        <v>44796</v>
      </c>
      <c r="E103" s="1">
        <f>SUM(Table1[[#This Row],[Delivery_Date]]-Table1[[#This Row],[Order_Date]])</f>
        <v>-44796</v>
      </c>
      <c r="F103" t="s">
        <v>13</v>
      </c>
      <c r="G103" t="s">
        <v>18</v>
      </c>
      <c r="H103">
        <v>251</v>
      </c>
      <c r="I103">
        <v>67.489999999999995</v>
      </c>
      <c r="J103">
        <v>64.48</v>
      </c>
      <c r="K103">
        <f>Table1[[#This Row],[Quantity]]*Table1[[#This Row],[Negotiated_Price]]</f>
        <v>16184.480000000001</v>
      </c>
      <c r="L103" s="5">
        <f>Table1[[#This Row],[Quantity]]*Table1[[#This Row],[Unit_Price]]</f>
        <v>16939.989999999998</v>
      </c>
      <c r="M103">
        <f>Table1[[#This Row],[Unit_Price]]-Table1[[#This Row],[Negotiated_Price]]</f>
        <v>3.0099999999999909</v>
      </c>
      <c r="N103" s="2">
        <f>(Table1[[#This Row],[Unit_Price]]-Table1[[#This Row],[Negotiated_Price]])/Table1[[#This Row],[Unit_Price]]</f>
        <v>4.459919988146379E-2</v>
      </c>
      <c r="O103">
        <v>2</v>
      </c>
      <c r="P103" t="s">
        <v>15</v>
      </c>
      <c r="Q103">
        <f>IF(Table1[[#This Row],[Compliance]]="Yes", 1, 0)</f>
        <v>1</v>
      </c>
    </row>
    <row r="104" spans="1:17" x14ac:dyDescent="0.35">
      <c r="A104" t="s">
        <v>129</v>
      </c>
      <c r="B104" t="s">
        <v>20</v>
      </c>
      <c r="C104" s="1">
        <v>44594</v>
      </c>
      <c r="D104" s="1">
        <v>44610</v>
      </c>
      <c r="E104" s="1">
        <f>SUM(Table1[[#This Row],[Delivery_Date]]-Table1[[#This Row],[Order_Date]])</f>
        <v>16</v>
      </c>
      <c r="F104" t="s">
        <v>26</v>
      </c>
      <c r="G104" t="s">
        <v>18</v>
      </c>
      <c r="H104">
        <v>1045</v>
      </c>
      <c r="I104" s="4">
        <v>47.88</v>
      </c>
      <c r="J104" s="4">
        <v>44.65</v>
      </c>
      <c r="K104" s="4">
        <f>Table1[[#This Row],[Quantity]]*Table1[[#This Row],[Negotiated_Price]]</f>
        <v>46659.25</v>
      </c>
      <c r="L104" s="4">
        <f>Table1[[#This Row],[Quantity]]*Table1[[#This Row],[Unit_Price]]</f>
        <v>50034.600000000006</v>
      </c>
      <c r="M104" s="4">
        <f>Table1[[#This Row],[Unit_Price]]-Table1[[#This Row],[Negotiated_Price]]</f>
        <v>3.230000000000004</v>
      </c>
      <c r="N104" s="3">
        <f>(Table1[[#This Row],[Unit_Price]]-Table1[[#This Row],[Negotiated_Price]])/Table1[[#This Row],[Unit_Price]]</f>
        <v>6.746031746031754E-2</v>
      </c>
      <c r="O104">
        <v>69</v>
      </c>
      <c r="P104" t="s">
        <v>15</v>
      </c>
      <c r="Q104">
        <f>IF(Table1[[#This Row],[Compliance]]="Yes", 1, 0)</f>
        <v>1</v>
      </c>
    </row>
    <row r="105" spans="1:17" x14ac:dyDescent="0.35">
      <c r="A105" t="s">
        <v>130</v>
      </c>
      <c r="B105" t="s">
        <v>17</v>
      </c>
      <c r="C105" s="1">
        <v>44885</v>
      </c>
      <c r="D105" s="1">
        <v>44905</v>
      </c>
      <c r="E105" s="1">
        <f>SUM(Table1[[#This Row],[Delivery_Date]]-Table1[[#This Row],[Order_Date]])</f>
        <v>20</v>
      </c>
      <c r="F105" t="s">
        <v>21</v>
      </c>
      <c r="G105" t="s">
        <v>18</v>
      </c>
      <c r="H105">
        <v>319</v>
      </c>
      <c r="I105" s="4">
        <v>98.64</v>
      </c>
      <c r="J105" s="4">
        <v>89.15</v>
      </c>
      <c r="K105" s="4">
        <f>Table1[[#This Row],[Quantity]]*Table1[[#This Row],[Negotiated_Price]]</f>
        <v>28438.850000000002</v>
      </c>
      <c r="L105" s="4">
        <f>Table1[[#This Row],[Quantity]]*Table1[[#This Row],[Unit_Price]]</f>
        <v>31466.16</v>
      </c>
      <c r="M105" s="4">
        <f>Table1[[#This Row],[Unit_Price]]-Table1[[#This Row],[Negotiated_Price]]</f>
        <v>9.4899999999999949</v>
      </c>
      <c r="N105" s="3">
        <f>(Table1[[#This Row],[Unit_Price]]-Table1[[#This Row],[Negotiated_Price]])/Table1[[#This Row],[Unit_Price]]</f>
        <v>9.620843471208429E-2</v>
      </c>
      <c r="O105">
        <v>57</v>
      </c>
      <c r="P105" t="s">
        <v>15</v>
      </c>
      <c r="Q105">
        <f>IF(Table1[[#This Row],[Compliance]]="Yes", 1, 0)</f>
        <v>1</v>
      </c>
    </row>
    <row r="106" spans="1:17" x14ac:dyDescent="0.35">
      <c r="A106" t="s">
        <v>131</v>
      </c>
      <c r="B106" t="s">
        <v>29</v>
      </c>
      <c r="C106" s="1">
        <v>44972</v>
      </c>
      <c r="D106" s="1">
        <v>44986</v>
      </c>
      <c r="E106" s="1">
        <f>SUM(Table1[[#This Row],[Delivery_Date]]-Table1[[#This Row],[Order_Date]])</f>
        <v>14</v>
      </c>
      <c r="F106" t="s">
        <v>13</v>
      </c>
      <c r="G106" t="s">
        <v>33</v>
      </c>
      <c r="H106">
        <v>1936</v>
      </c>
      <c r="I106" s="4">
        <v>93.66</v>
      </c>
      <c r="J106" s="4">
        <v>92.24</v>
      </c>
      <c r="K106" s="4">
        <f>Table1[[#This Row],[Quantity]]*Table1[[#This Row],[Negotiated_Price]]</f>
        <v>178576.63999999998</v>
      </c>
      <c r="L106" s="4">
        <f>Table1[[#This Row],[Quantity]]*Table1[[#This Row],[Unit_Price]]</f>
        <v>181325.75999999998</v>
      </c>
      <c r="M106" s="4">
        <f>Table1[[#This Row],[Unit_Price]]-Table1[[#This Row],[Negotiated_Price]]</f>
        <v>1.4200000000000017</v>
      </c>
      <c r="N106" s="3">
        <f>(Table1[[#This Row],[Unit_Price]]-Table1[[#This Row],[Negotiated_Price]])/Table1[[#This Row],[Unit_Price]]</f>
        <v>1.5161221439248364E-2</v>
      </c>
      <c r="O106">
        <v>58</v>
      </c>
      <c r="P106" t="s">
        <v>15</v>
      </c>
      <c r="Q106">
        <f>IF(Table1[[#This Row],[Compliance]]="Yes", 1, 0)</f>
        <v>1</v>
      </c>
    </row>
    <row r="107" spans="1:17" x14ac:dyDescent="0.35">
      <c r="A107" t="s">
        <v>132</v>
      </c>
      <c r="B107" t="s">
        <v>17</v>
      </c>
      <c r="C107" s="1">
        <v>44836</v>
      </c>
      <c r="D107" s="1">
        <v>44856</v>
      </c>
      <c r="E107" s="1">
        <f>SUM(Table1[[#This Row],[Delivery_Date]]-Table1[[#This Row],[Order_Date]])</f>
        <v>20</v>
      </c>
      <c r="F107" t="s">
        <v>21</v>
      </c>
      <c r="G107" t="s">
        <v>14</v>
      </c>
      <c r="H107">
        <v>865</v>
      </c>
      <c r="I107" s="4">
        <v>14.7</v>
      </c>
      <c r="J107" s="4">
        <v>13.14</v>
      </c>
      <c r="K107" s="4">
        <f>Table1[[#This Row],[Quantity]]*Table1[[#This Row],[Negotiated_Price]]</f>
        <v>11366.1</v>
      </c>
      <c r="L107" s="4">
        <f>Table1[[#This Row],[Quantity]]*Table1[[#This Row],[Unit_Price]]</f>
        <v>12715.5</v>
      </c>
      <c r="M107" s="4">
        <f>Table1[[#This Row],[Unit_Price]]-Table1[[#This Row],[Negotiated_Price]]</f>
        <v>1.5599999999999987</v>
      </c>
      <c r="N107" s="3">
        <f>(Table1[[#This Row],[Unit_Price]]-Table1[[#This Row],[Negotiated_Price]])/Table1[[#This Row],[Unit_Price]]</f>
        <v>0.10612244897959175</v>
      </c>
      <c r="O107">
        <v>135</v>
      </c>
      <c r="P107" t="s">
        <v>27</v>
      </c>
      <c r="Q107">
        <f>IF(Table1[[#This Row],[Compliance]]="Yes", 1, 0)</f>
        <v>0</v>
      </c>
    </row>
    <row r="108" spans="1:17" x14ac:dyDescent="0.35">
      <c r="A108" t="s">
        <v>133</v>
      </c>
      <c r="B108" t="s">
        <v>29</v>
      </c>
      <c r="C108" s="1">
        <v>44629</v>
      </c>
      <c r="D108" s="1">
        <v>44632</v>
      </c>
      <c r="E108" s="1">
        <f>SUM(Table1[[#This Row],[Delivery_Date]]-Table1[[#This Row],[Order_Date]])</f>
        <v>3</v>
      </c>
      <c r="F108" t="s">
        <v>39</v>
      </c>
      <c r="G108" t="s">
        <v>18</v>
      </c>
      <c r="H108">
        <v>1344</v>
      </c>
      <c r="I108" s="4">
        <v>12.5</v>
      </c>
      <c r="J108" s="4">
        <v>10.87</v>
      </c>
      <c r="K108" s="4">
        <f>Table1[[#This Row],[Quantity]]*Table1[[#This Row],[Negotiated_Price]]</f>
        <v>14609.279999999999</v>
      </c>
      <c r="L108" s="4">
        <f>Table1[[#This Row],[Quantity]]*Table1[[#This Row],[Unit_Price]]</f>
        <v>16800</v>
      </c>
      <c r="M108" s="4">
        <f>Table1[[#This Row],[Unit_Price]]-Table1[[#This Row],[Negotiated_Price]]</f>
        <v>1.6300000000000008</v>
      </c>
      <c r="N108" s="3">
        <f>(Table1[[#This Row],[Unit_Price]]-Table1[[#This Row],[Negotiated_Price]])/Table1[[#This Row],[Unit_Price]]</f>
        <v>0.13040000000000007</v>
      </c>
      <c r="O108">
        <v>44</v>
      </c>
      <c r="P108" t="s">
        <v>15</v>
      </c>
      <c r="Q108">
        <f>IF(Table1[[#This Row],[Compliance]]="Yes", 1, 0)</f>
        <v>1</v>
      </c>
    </row>
    <row r="109" spans="1:17" x14ac:dyDescent="0.35">
      <c r="A109" t="s">
        <v>134</v>
      </c>
      <c r="B109" t="s">
        <v>17</v>
      </c>
      <c r="C109" s="1">
        <v>44778</v>
      </c>
      <c r="D109" s="1">
        <v>44797</v>
      </c>
      <c r="E109" s="1">
        <f>SUM(Table1[[#This Row],[Delivery_Date]]-Table1[[#This Row],[Order_Date]])</f>
        <v>19</v>
      </c>
      <c r="F109" t="s">
        <v>26</v>
      </c>
      <c r="G109" t="s">
        <v>35</v>
      </c>
      <c r="H109">
        <v>505</v>
      </c>
      <c r="I109" s="4">
        <v>45.42</v>
      </c>
      <c r="J109" s="4">
        <v>40.369999999999997</v>
      </c>
      <c r="K109" s="4">
        <f>Table1[[#This Row],[Quantity]]*Table1[[#This Row],[Negotiated_Price]]</f>
        <v>20386.849999999999</v>
      </c>
      <c r="L109" s="4">
        <f>Table1[[#This Row],[Quantity]]*Table1[[#This Row],[Unit_Price]]</f>
        <v>22937.100000000002</v>
      </c>
      <c r="M109" s="4">
        <f>Table1[[#This Row],[Unit_Price]]-Table1[[#This Row],[Negotiated_Price]]</f>
        <v>5.0500000000000043</v>
      </c>
      <c r="N109" s="3">
        <f>(Table1[[#This Row],[Unit_Price]]-Table1[[#This Row],[Negotiated_Price]])/Table1[[#This Row],[Unit_Price]]</f>
        <v>0.11118450022016742</v>
      </c>
      <c r="O109">
        <v>62</v>
      </c>
      <c r="P109" t="s">
        <v>15</v>
      </c>
      <c r="Q109">
        <f>IF(Table1[[#This Row],[Compliance]]="Yes", 1, 0)</f>
        <v>1</v>
      </c>
    </row>
    <row r="110" spans="1:17" x14ac:dyDescent="0.35">
      <c r="A110" t="s">
        <v>135</v>
      </c>
      <c r="B110" t="s">
        <v>23</v>
      </c>
      <c r="C110" s="1">
        <v>45142</v>
      </c>
      <c r="D110" s="1">
        <v>45143</v>
      </c>
      <c r="E110" s="1">
        <f>SUM(Table1[[#This Row],[Delivery_Date]]-Table1[[#This Row],[Order_Date]])</f>
        <v>1</v>
      </c>
      <c r="F110" t="s">
        <v>24</v>
      </c>
      <c r="G110" t="s">
        <v>18</v>
      </c>
      <c r="H110">
        <v>1535</v>
      </c>
      <c r="I110" s="4">
        <v>90.83</v>
      </c>
      <c r="J110" s="4">
        <v>78.28</v>
      </c>
      <c r="K110" s="4">
        <f>Table1[[#This Row],[Quantity]]*Table1[[#This Row],[Negotiated_Price]]</f>
        <v>120159.8</v>
      </c>
      <c r="L110" s="4">
        <f>Table1[[#This Row],[Quantity]]*Table1[[#This Row],[Unit_Price]]</f>
        <v>139424.04999999999</v>
      </c>
      <c r="M110" s="4">
        <f>Table1[[#This Row],[Unit_Price]]-Table1[[#This Row],[Negotiated_Price]]</f>
        <v>12.549999999999997</v>
      </c>
      <c r="N110" s="3">
        <f>(Table1[[#This Row],[Unit_Price]]-Table1[[#This Row],[Negotiated_Price]])/Table1[[#This Row],[Unit_Price]]</f>
        <v>0.13817020808103048</v>
      </c>
      <c r="O110">
        <v>151</v>
      </c>
      <c r="P110" t="s">
        <v>27</v>
      </c>
      <c r="Q110">
        <f>IF(Table1[[#This Row],[Compliance]]="Yes", 1, 0)</f>
        <v>0</v>
      </c>
    </row>
    <row r="111" spans="1:17" hidden="1" x14ac:dyDescent="0.35">
      <c r="A111" t="s">
        <v>136</v>
      </c>
      <c r="B111" t="s">
        <v>23</v>
      </c>
      <c r="C111" s="1">
        <v>44884</v>
      </c>
      <c r="E111" s="1">
        <f>SUM(Table1[[#This Row],[Delivery_Date]]-Table1[[#This Row],[Order_Date]])</f>
        <v>-44884</v>
      </c>
      <c r="F111" t="s">
        <v>13</v>
      </c>
      <c r="G111" t="s">
        <v>18</v>
      </c>
      <c r="H111">
        <v>1800</v>
      </c>
      <c r="I111">
        <v>103.8</v>
      </c>
      <c r="J111">
        <v>96.27</v>
      </c>
      <c r="K111">
        <f>Table1[[#This Row],[Quantity]]*Table1[[#This Row],[Negotiated_Price]]</f>
        <v>173286</v>
      </c>
      <c r="L111" s="5">
        <f>Table1[[#This Row],[Quantity]]*Table1[[#This Row],[Unit_Price]]</f>
        <v>186840</v>
      </c>
      <c r="M111">
        <f>Table1[[#This Row],[Unit_Price]]-Table1[[#This Row],[Negotiated_Price]]</f>
        <v>7.5300000000000011</v>
      </c>
      <c r="N111" s="2">
        <f>(Table1[[#This Row],[Unit_Price]]-Table1[[#This Row],[Negotiated_Price]])/Table1[[#This Row],[Unit_Price]]</f>
        <v>7.2543352601156089E-2</v>
      </c>
      <c r="O111">
        <v>166</v>
      </c>
      <c r="P111" t="s">
        <v>15</v>
      </c>
      <c r="Q111">
        <f>IF(Table1[[#This Row],[Compliance]]="Yes", 1, 0)</f>
        <v>1</v>
      </c>
    </row>
    <row r="112" spans="1:17" x14ac:dyDescent="0.35">
      <c r="A112" t="s">
        <v>137</v>
      </c>
      <c r="B112" t="s">
        <v>17</v>
      </c>
      <c r="C112" s="1">
        <v>44779</v>
      </c>
      <c r="D112" s="1">
        <v>44788</v>
      </c>
      <c r="E112" s="1">
        <f>SUM(Table1[[#This Row],[Delivery_Date]]-Table1[[#This Row],[Order_Date]])</f>
        <v>9</v>
      </c>
      <c r="F112" t="s">
        <v>26</v>
      </c>
      <c r="G112" t="s">
        <v>35</v>
      </c>
      <c r="H112">
        <v>1325</v>
      </c>
      <c r="I112" s="4">
        <v>24.36</v>
      </c>
      <c r="J112" s="4">
        <v>22.75</v>
      </c>
      <c r="K112" s="4">
        <f>Table1[[#This Row],[Quantity]]*Table1[[#This Row],[Negotiated_Price]]</f>
        <v>30143.75</v>
      </c>
      <c r="L112" s="4">
        <f>Table1[[#This Row],[Quantity]]*Table1[[#This Row],[Unit_Price]]</f>
        <v>32277</v>
      </c>
      <c r="M112" s="4">
        <f>Table1[[#This Row],[Unit_Price]]-Table1[[#This Row],[Negotiated_Price]]</f>
        <v>1.6099999999999994</v>
      </c>
      <c r="N112" s="3">
        <f>(Table1[[#This Row],[Unit_Price]]-Table1[[#This Row],[Negotiated_Price]])/Table1[[#This Row],[Unit_Price]]</f>
        <v>6.6091954022988481E-2</v>
      </c>
      <c r="O112">
        <v>206</v>
      </c>
      <c r="P112" t="s">
        <v>15</v>
      </c>
      <c r="Q112">
        <f>IF(Table1[[#This Row],[Compliance]]="Yes", 1, 0)</f>
        <v>1</v>
      </c>
    </row>
    <row r="113" spans="1:17" x14ac:dyDescent="0.35">
      <c r="A113" t="s">
        <v>138</v>
      </c>
      <c r="B113" t="s">
        <v>20</v>
      </c>
      <c r="C113" s="1">
        <v>45233</v>
      </c>
      <c r="D113" s="1">
        <v>45239</v>
      </c>
      <c r="E113" s="1">
        <f>SUM(Table1[[#This Row],[Delivery_Date]]-Table1[[#This Row],[Order_Date]])</f>
        <v>6</v>
      </c>
      <c r="F113" t="s">
        <v>26</v>
      </c>
      <c r="G113" t="s">
        <v>18</v>
      </c>
      <c r="H113">
        <v>1066</v>
      </c>
      <c r="I113" s="4">
        <v>70.45</v>
      </c>
      <c r="J113" s="4">
        <v>65.88</v>
      </c>
      <c r="K113" s="4">
        <f>Table1[[#This Row],[Quantity]]*Table1[[#This Row],[Negotiated_Price]]</f>
        <v>70228.08</v>
      </c>
      <c r="L113" s="4">
        <f>Table1[[#This Row],[Quantity]]*Table1[[#This Row],[Unit_Price]]</f>
        <v>75099.7</v>
      </c>
      <c r="M113" s="4">
        <f>Table1[[#This Row],[Unit_Price]]-Table1[[#This Row],[Negotiated_Price]]</f>
        <v>4.5700000000000074</v>
      </c>
      <c r="N113" s="3">
        <f>(Table1[[#This Row],[Unit_Price]]-Table1[[#This Row],[Negotiated_Price]])/Table1[[#This Row],[Unit_Price]]</f>
        <v>6.4868701206529558E-2</v>
      </c>
      <c r="O113">
        <v>56</v>
      </c>
      <c r="P113" t="s">
        <v>27</v>
      </c>
      <c r="Q113">
        <f>IF(Table1[[#This Row],[Compliance]]="Yes", 1, 0)</f>
        <v>0</v>
      </c>
    </row>
    <row r="114" spans="1:17" x14ac:dyDescent="0.35">
      <c r="A114" t="s">
        <v>139</v>
      </c>
      <c r="B114" t="s">
        <v>23</v>
      </c>
      <c r="C114" s="1">
        <v>45073</v>
      </c>
      <c r="D114" s="1">
        <v>45088</v>
      </c>
      <c r="E114" s="1">
        <f>SUM(Table1[[#This Row],[Delivery_Date]]-Table1[[#This Row],[Order_Date]])</f>
        <v>15</v>
      </c>
      <c r="F114" t="s">
        <v>26</v>
      </c>
      <c r="G114" t="s">
        <v>18</v>
      </c>
      <c r="H114">
        <v>1775</v>
      </c>
      <c r="I114" s="4">
        <v>47.82</v>
      </c>
      <c r="J114" s="4">
        <v>45.86</v>
      </c>
      <c r="K114" s="4">
        <f>Table1[[#This Row],[Quantity]]*Table1[[#This Row],[Negotiated_Price]]</f>
        <v>81401.5</v>
      </c>
      <c r="L114" s="4">
        <f>Table1[[#This Row],[Quantity]]*Table1[[#This Row],[Unit_Price]]</f>
        <v>84880.5</v>
      </c>
      <c r="M114" s="4">
        <f>Table1[[#This Row],[Unit_Price]]-Table1[[#This Row],[Negotiated_Price]]</f>
        <v>1.9600000000000009</v>
      </c>
      <c r="N114" s="3">
        <f>(Table1[[#This Row],[Unit_Price]]-Table1[[#This Row],[Negotiated_Price]])/Table1[[#This Row],[Unit_Price]]</f>
        <v>4.0987034713509007E-2</v>
      </c>
      <c r="O114">
        <v>180</v>
      </c>
      <c r="P114" t="s">
        <v>15</v>
      </c>
      <c r="Q114">
        <f>IF(Table1[[#This Row],[Compliance]]="Yes", 1, 0)</f>
        <v>1</v>
      </c>
    </row>
    <row r="115" spans="1:17" hidden="1" x14ac:dyDescent="0.35">
      <c r="A115" t="s">
        <v>140</v>
      </c>
      <c r="B115" t="s">
        <v>20</v>
      </c>
      <c r="C115" s="1">
        <v>44967</v>
      </c>
      <c r="E115" s="1">
        <f>SUM(Table1[[#This Row],[Delivery_Date]]-Table1[[#This Row],[Order_Date]])</f>
        <v>-44967</v>
      </c>
      <c r="F115" t="s">
        <v>26</v>
      </c>
      <c r="G115" t="s">
        <v>33</v>
      </c>
      <c r="H115">
        <v>345</v>
      </c>
      <c r="I115">
        <v>103.62</v>
      </c>
      <c r="J115">
        <v>98.09</v>
      </c>
      <c r="K115">
        <f>Table1[[#This Row],[Quantity]]*Table1[[#This Row],[Negotiated_Price]]</f>
        <v>33841.050000000003</v>
      </c>
      <c r="L115" s="5">
        <f>Table1[[#This Row],[Quantity]]*Table1[[#This Row],[Unit_Price]]</f>
        <v>35748.9</v>
      </c>
      <c r="M115">
        <f>Table1[[#This Row],[Unit_Price]]-Table1[[#This Row],[Negotiated_Price]]</f>
        <v>5.5300000000000011</v>
      </c>
      <c r="N115" s="2">
        <f>(Table1[[#This Row],[Unit_Price]]-Table1[[#This Row],[Negotiated_Price]])/Table1[[#This Row],[Unit_Price]]</f>
        <v>5.3368075661069297E-2</v>
      </c>
      <c r="O115">
        <v>25</v>
      </c>
      <c r="P115" t="s">
        <v>27</v>
      </c>
      <c r="Q115">
        <f>IF(Table1[[#This Row],[Compliance]]="Yes", 1, 0)</f>
        <v>0</v>
      </c>
    </row>
    <row r="116" spans="1:17" x14ac:dyDescent="0.35">
      <c r="A116" t="s">
        <v>141</v>
      </c>
      <c r="B116" t="s">
        <v>23</v>
      </c>
      <c r="C116" s="1">
        <v>45220</v>
      </c>
      <c r="D116" s="1">
        <v>45239</v>
      </c>
      <c r="E116" s="1">
        <f>SUM(Table1[[#This Row],[Delivery_Date]]-Table1[[#This Row],[Order_Date]])</f>
        <v>19</v>
      </c>
      <c r="F116" t="s">
        <v>39</v>
      </c>
      <c r="G116" t="s">
        <v>18</v>
      </c>
      <c r="H116">
        <v>1798</v>
      </c>
      <c r="I116" s="4">
        <v>94.8</v>
      </c>
      <c r="J116" s="4">
        <v>91.83</v>
      </c>
      <c r="K116" s="4">
        <f>Table1[[#This Row],[Quantity]]*Table1[[#This Row],[Negotiated_Price]]</f>
        <v>165110.34</v>
      </c>
      <c r="L116" s="4">
        <f>Table1[[#This Row],[Quantity]]*Table1[[#This Row],[Unit_Price]]</f>
        <v>170450.4</v>
      </c>
      <c r="M116" s="4">
        <f>Table1[[#This Row],[Unit_Price]]-Table1[[#This Row],[Negotiated_Price]]</f>
        <v>2.9699999999999989</v>
      </c>
      <c r="N116" s="3">
        <f>(Table1[[#This Row],[Unit_Price]]-Table1[[#This Row],[Negotiated_Price]])/Table1[[#This Row],[Unit_Price]]</f>
        <v>3.1329113924050619E-2</v>
      </c>
      <c r="P116" t="s">
        <v>15</v>
      </c>
      <c r="Q116">
        <f>IF(Table1[[#This Row],[Compliance]]="Yes", 1, 0)</f>
        <v>1</v>
      </c>
    </row>
    <row r="117" spans="1:17" x14ac:dyDescent="0.35">
      <c r="A117" t="s">
        <v>142</v>
      </c>
      <c r="B117" t="s">
        <v>12</v>
      </c>
      <c r="C117" s="1">
        <v>45031</v>
      </c>
      <c r="D117" s="1">
        <v>45047</v>
      </c>
      <c r="E117" s="1">
        <f>SUM(Table1[[#This Row],[Delivery_Date]]-Table1[[#This Row],[Order_Date]])</f>
        <v>16</v>
      </c>
      <c r="F117" t="s">
        <v>21</v>
      </c>
      <c r="G117" t="s">
        <v>18</v>
      </c>
      <c r="H117">
        <v>769</v>
      </c>
      <c r="I117" s="4">
        <v>91.86</v>
      </c>
      <c r="J117" s="4">
        <v>86.55</v>
      </c>
      <c r="K117" s="4">
        <f>Table1[[#This Row],[Quantity]]*Table1[[#This Row],[Negotiated_Price]]</f>
        <v>66556.95</v>
      </c>
      <c r="L117" s="4">
        <f>Table1[[#This Row],[Quantity]]*Table1[[#This Row],[Unit_Price]]</f>
        <v>70640.34</v>
      </c>
      <c r="M117" s="4">
        <f>Table1[[#This Row],[Unit_Price]]-Table1[[#This Row],[Negotiated_Price]]</f>
        <v>5.3100000000000023</v>
      </c>
      <c r="N117" s="3">
        <f>(Table1[[#This Row],[Unit_Price]]-Table1[[#This Row],[Negotiated_Price]])/Table1[[#This Row],[Unit_Price]]</f>
        <v>5.7805355976485985E-2</v>
      </c>
      <c r="O117">
        <v>17</v>
      </c>
      <c r="P117" t="s">
        <v>15</v>
      </c>
      <c r="Q117">
        <f>IF(Table1[[#This Row],[Compliance]]="Yes", 1, 0)</f>
        <v>1</v>
      </c>
    </row>
    <row r="118" spans="1:17" hidden="1" x14ac:dyDescent="0.35">
      <c r="A118" t="s">
        <v>143</v>
      </c>
      <c r="B118" t="s">
        <v>12</v>
      </c>
      <c r="C118" s="1">
        <v>44708</v>
      </c>
      <c r="E118" s="1">
        <f>SUM(Table1[[#This Row],[Delivery_Date]]-Table1[[#This Row],[Order_Date]])</f>
        <v>-44708</v>
      </c>
      <c r="F118" t="s">
        <v>24</v>
      </c>
      <c r="G118" t="s">
        <v>18</v>
      </c>
      <c r="H118">
        <v>1822</v>
      </c>
      <c r="I118">
        <v>53.23</v>
      </c>
      <c r="J118">
        <v>47.49</v>
      </c>
      <c r="K118">
        <f>Table1[[#This Row],[Quantity]]*Table1[[#This Row],[Negotiated_Price]]</f>
        <v>86526.78</v>
      </c>
      <c r="L118" s="5">
        <f>Table1[[#This Row],[Quantity]]*Table1[[#This Row],[Unit_Price]]</f>
        <v>96985.06</v>
      </c>
      <c r="M118">
        <f>Table1[[#This Row],[Unit_Price]]-Table1[[#This Row],[Negotiated_Price]]</f>
        <v>5.7399999999999949</v>
      </c>
      <c r="N118" s="2">
        <f>(Table1[[#This Row],[Unit_Price]]-Table1[[#This Row],[Negotiated_Price]])/Table1[[#This Row],[Unit_Price]]</f>
        <v>0.10783392823595708</v>
      </c>
      <c r="O118">
        <v>39</v>
      </c>
      <c r="P118" t="s">
        <v>15</v>
      </c>
      <c r="Q118">
        <f>IF(Table1[[#This Row],[Compliance]]="Yes", 1, 0)</f>
        <v>1</v>
      </c>
    </row>
    <row r="119" spans="1:17" x14ac:dyDescent="0.35">
      <c r="A119" t="s">
        <v>144</v>
      </c>
      <c r="B119" t="s">
        <v>17</v>
      </c>
      <c r="C119" s="1">
        <v>44833</v>
      </c>
      <c r="D119" s="1">
        <v>44847</v>
      </c>
      <c r="E119" s="1">
        <f>SUM(Table1[[#This Row],[Delivery_Date]]-Table1[[#This Row],[Order_Date]])</f>
        <v>14</v>
      </c>
      <c r="F119" t="s">
        <v>24</v>
      </c>
      <c r="G119" t="s">
        <v>18</v>
      </c>
      <c r="H119">
        <v>387</v>
      </c>
      <c r="I119" s="4">
        <v>49.23</v>
      </c>
      <c r="J119" s="4">
        <v>45.41</v>
      </c>
      <c r="K119" s="4">
        <f>Table1[[#This Row],[Quantity]]*Table1[[#This Row],[Negotiated_Price]]</f>
        <v>17573.669999999998</v>
      </c>
      <c r="L119" s="4">
        <f>Table1[[#This Row],[Quantity]]*Table1[[#This Row],[Unit_Price]]</f>
        <v>19052.009999999998</v>
      </c>
      <c r="M119" s="4">
        <f>Table1[[#This Row],[Unit_Price]]-Table1[[#This Row],[Negotiated_Price]]</f>
        <v>3.8200000000000003</v>
      </c>
      <c r="N119" s="3">
        <f>(Table1[[#This Row],[Unit_Price]]-Table1[[#This Row],[Negotiated_Price]])/Table1[[#This Row],[Unit_Price]]</f>
        <v>7.7594962421287841E-2</v>
      </c>
      <c r="O119">
        <v>61</v>
      </c>
      <c r="P119" t="s">
        <v>15</v>
      </c>
      <c r="Q119">
        <f>IF(Table1[[#This Row],[Compliance]]="Yes", 1, 0)</f>
        <v>1</v>
      </c>
    </row>
    <row r="120" spans="1:17" x14ac:dyDescent="0.35">
      <c r="A120" t="s">
        <v>145</v>
      </c>
      <c r="B120" t="s">
        <v>29</v>
      </c>
      <c r="C120" s="1">
        <v>44704</v>
      </c>
      <c r="D120" s="1">
        <v>44708</v>
      </c>
      <c r="E120" s="1">
        <f>SUM(Table1[[#This Row],[Delivery_Date]]-Table1[[#This Row],[Order_Date]])</f>
        <v>4</v>
      </c>
      <c r="F120" t="s">
        <v>21</v>
      </c>
      <c r="G120" t="s">
        <v>18</v>
      </c>
      <c r="H120">
        <v>928</v>
      </c>
      <c r="I120" s="4">
        <v>35.299999999999997</v>
      </c>
      <c r="J120" s="4">
        <v>32.520000000000003</v>
      </c>
      <c r="K120" s="4">
        <f>Table1[[#This Row],[Quantity]]*Table1[[#This Row],[Negotiated_Price]]</f>
        <v>30178.560000000001</v>
      </c>
      <c r="L120" s="4">
        <f>Table1[[#This Row],[Quantity]]*Table1[[#This Row],[Unit_Price]]</f>
        <v>32758.399999999998</v>
      </c>
      <c r="M120" s="4">
        <f>Table1[[#This Row],[Unit_Price]]-Table1[[#This Row],[Negotiated_Price]]</f>
        <v>2.779999999999994</v>
      </c>
      <c r="N120" s="3">
        <f>(Table1[[#This Row],[Unit_Price]]-Table1[[#This Row],[Negotiated_Price]])/Table1[[#This Row],[Unit_Price]]</f>
        <v>7.8753541076487091E-2</v>
      </c>
      <c r="O120">
        <v>26</v>
      </c>
      <c r="P120" t="s">
        <v>15</v>
      </c>
      <c r="Q120">
        <f>IF(Table1[[#This Row],[Compliance]]="Yes", 1, 0)</f>
        <v>1</v>
      </c>
    </row>
    <row r="121" spans="1:17" x14ac:dyDescent="0.35">
      <c r="A121" t="s">
        <v>146</v>
      </c>
      <c r="B121" t="s">
        <v>12</v>
      </c>
      <c r="C121" s="1">
        <v>44814</v>
      </c>
      <c r="D121" s="1">
        <v>44825</v>
      </c>
      <c r="E121" s="1">
        <f>SUM(Table1[[#This Row],[Delivery_Date]]-Table1[[#This Row],[Order_Date]])</f>
        <v>11</v>
      </c>
      <c r="F121" t="s">
        <v>24</v>
      </c>
      <c r="G121" t="s">
        <v>33</v>
      </c>
      <c r="H121">
        <v>1126</v>
      </c>
      <c r="I121" s="4">
        <v>15.68</v>
      </c>
      <c r="J121" s="4">
        <v>14.97</v>
      </c>
      <c r="K121" s="4">
        <f>Table1[[#This Row],[Quantity]]*Table1[[#This Row],[Negotiated_Price]]</f>
        <v>16856.22</v>
      </c>
      <c r="L121" s="4">
        <f>Table1[[#This Row],[Quantity]]*Table1[[#This Row],[Unit_Price]]</f>
        <v>17655.68</v>
      </c>
      <c r="M121" s="4">
        <f>Table1[[#This Row],[Unit_Price]]-Table1[[#This Row],[Negotiated_Price]]</f>
        <v>0.70999999999999908</v>
      </c>
      <c r="N121" s="3">
        <f>(Table1[[#This Row],[Unit_Price]]-Table1[[#This Row],[Negotiated_Price]])/Table1[[#This Row],[Unit_Price]]</f>
        <v>4.5280612244897898E-2</v>
      </c>
      <c r="O121">
        <v>27</v>
      </c>
      <c r="P121" t="s">
        <v>15</v>
      </c>
      <c r="Q121">
        <f>IF(Table1[[#This Row],[Compliance]]="Yes", 1, 0)</f>
        <v>1</v>
      </c>
    </row>
    <row r="122" spans="1:17" x14ac:dyDescent="0.35">
      <c r="A122" t="s">
        <v>147</v>
      </c>
      <c r="B122" t="s">
        <v>23</v>
      </c>
      <c r="C122" s="1">
        <v>45136</v>
      </c>
      <c r="D122" s="1">
        <v>45152</v>
      </c>
      <c r="E122" s="1">
        <f>SUM(Table1[[#This Row],[Delivery_Date]]-Table1[[#This Row],[Order_Date]])</f>
        <v>16</v>
      </c>
      <c r="F122" t="s">
        <v>26</v>
      </c>
      <c r="G122" t="s">
        <v>14</v>
      </c>
      <c r="H122">
        <v>841</v>
      </c>
      <c r="I122" s="4">
        <v>95.73</v>
      </c>
      <c r="J122" s="4">
        <v>85.33</v>
      </c>
      <c r="K122" s="4">
        <f>Table1[[#This Row],[Quantity]]*Table1[[#This Row],[Negotiated_Price]]</f>
        <v>71762.53</v>
      </c>
      <c r="L122" s="4">
        <f>Table1[[#This Row],[Quantity]]*Table1[[#This Row],[Unit_Price]]</f>
        <v>80508.930000000008</v>
      </c>
      <c r="M122" s="4">
        <f>Table1[[#This Row],[Unit_Price]]-Table1[[#This Row],[Negotiated_Price]]</f>
        <v>10.400000000000006</v>
      </c>
      <c r="N122" s="3">
        <f>(Table1[[#This Row],[Unit_Price]]-Table1[[#This Row],[Negotiated_Price]])/Table1[[#This Row],[Unit_Price]]</f>
        <v>0.10863888018385047</v>
      </c>
      <c r="O122">
        <v>81</v>
      </c>
      <c r="P122" t="s">
        <v>15</v>
      </c>
      <c r="Q122">
        <f>IF(Table1[[#This Row],[Compliance]]="Yes", 1, 0)</f>
        <v>1</v>
      </c>
    </row>
    <row r="123" spans="1:17" x14ac:dyDescent="0.35">
      <c r="A123" t="s">
        <v>148</v>
      </c>
      <c r="B123" t="s">
        <v>23</v>
      </c>
      <c r="C123" s="1">
        <v>45113</v>
      </c>
      <c r="D123" s="1">
        <v>45126</v>
      </c>
      <c r="E123" s="1">
        <f>SUM(Table1[[#This Row],[Delivery_Date]]-Table1[[#This Row],[Order_Date]])</f>
        <v>13</v>
      </c>
      <c r="F123" t="s">
        <v>39</v>
      </c>
      <c r="G123" t="s">
        <v>18</v>
      </c>
      <c r="H123">
        <v>1995</v>
      </c>
      <c r="I123" s="4">
        <v>90.65</v>
      </c>
      <c r="J123" s="4">
        <v>77.75</v>
      </c>
      <c r="K123" s="4">
        <f>Table1[[#This Row],[Quantity]]*Table1[[#This Row],[Negotiated_Price]]</f>
        <v>155111.25</v>
      </c>
      <c r="L123" s="4">
        <f>Table1[[#This Row],[Quantity]]*Table1[[#This Row],[Unit_Price]]</f>
        <v>180846.75</v>
      </c>
      <c r="M123" s="4">
        <f>Table1[[#This Row],[Unit_Price]]-Table1[[#This Row],[Negotiated_Price]]</f>
        <v>12.900000000000006</v>
      </c>
      <c r="N123" s="3">
        <f>(Table1[[#This Row],[Unit_Price]]-Table1[[#This Row],[Negotiated_Price]])/Table1[[#This Row],[Unit_Price]]</f>
        <v>0.14230557087699949</v>
      </c>
      <c r="O123">
        <v>206</v>
      </c>
      <c r="P123" t="s">
        <v>15</v>
      </c>
      <c r="Q123">
        <f>IF(Table1[[#This Row],[Compliance]]="Yes", 1, 0)</f>
        <v>1</v>
      </c>
    </row>
    <row r="124" spans="1:17" x14ac:dyDescent="0.35">
      <c r="A124" t="s">
        <v>149</v>
      </c>
      <c r="B124" t="s">
        <v>12</v>
      </c>
      <c r="C124" s="1">
        <v>44831</v>
      </c>
      <c r="D124" s="1">
        <v>44849</v>
      </c>
      <c r="E124" s="1">
        <f>SUM(Table1[[#This Row],[Delivery_Date]]-Table1[[#This Row],[Order_Date]])</f>
        <v>18</v>
      </c>
      <c r="F124" t="s">
        <v>26</v>
      </c>
      <c r="G124" t="s">
        <v>18</v>
      </c>
      <c r="H124">
        <v>266</v>
      </c>
      <c r="I124" s="4">
        <v>103.97</v>
      </c>
      <c r="J124" s="4">
        <v>101.44</v>
      </c>
      <c r="K124" s="4">
        <f>Table1[[#This Row],[Quantity]]*Table1[[#This Row],[Negotiated_Price]]</f>
        <v>26983.040000000001</v>
      </c>
      <c r="L124" s="4">
        <f>Table1[[#This Row],[Quantity]]*Table1[[#This Row],[Unit_Price]]</f>
        <v>27656.02</v>
      </c>
      <c r="M124" s="4">
        <f>Table1[[#This Row],[Unit_Price]]-Table1[[#This Row],[Negotiated_Price]]</f>
        <v>2.5300000000000011</v>
      </c>
      <c r="N124" s="3">
        <f>(Table1[[#This Row],[Unit_Price]]-Table1[[#This Row],[Negotiated_Price]])/Table1[[#This Row],[Unit_Price]]</f>
        <v>2.4333942483408685E-2</v>
      </c>
      <c r="O124">
        <v>6</v>
      </c>
      <c r="P124" t="s">
        <v>15</v>
      </c>
      <c r="Q124">
        <f>IF(Table1[[#This Row],[Compliance]]="Yes", 1, 0)</f>
        <v>1</v>
      </c>
    </row>
    <row r="125" spans="1:17" x14ac:dyDescent="0.35">
      <c r="A125" t="s">
        <v>150</v>
      </c>
      <c r="B125" t="s">
        <v>12</v>
      </c>
      <c r="C125" s="1">
        <v>45160</v>
      </c>
      <c r="D125" s="1">
        <v>45163</v>
      </c>
      <c r="E125" s="1">
        <f>SUM(Table1[[#This Row],[Delivery_Date]]-Table1[[#This Row],[Order_Date]])</f>
        <v>3</v>
      </c>
      <c r="F125" t="s">
        <v>26</v>
      </c>
      <c r="G125" t="s">
        <v>14</v>
      </c>
      <c r="H125">
        <v>813</v>
      </c>
      <c r="I125" s="4">
        <v>109.17</v>
      </c>
      <c r="J125" s="4">
        <v>107.39</v>
      </c>
      <c r="K125" s="4">
        <f>Table1[[#This Row],[Quantity]]*Table1[[#This Row],[Negotiated_Price]]</f>
        <v>87308.07</v>
      </c>
      <c r="L125" s="4">
        <f>Table1[[#This Row],[Quantity]]*Table1[[#This Row],[Unit_Price]]</f>
        <v>88755.21</v>
      </c>
      <c r="M125" s="4">
        <f>Table1[[#This Row],[Unit_Price]]-Table1[[#This Row],[Negotiated_Price]]</f>
        <v>1.7800000000000011</v>
      </c>
      <c r="N125" s="3">
        <f>(Table1[[#This Row],[Unit_Price]]-Table1[[#This Row],[Negotiated_Price]])/Table1[[#This Row],[Unit_Price]]</f>
        <v>1.6304845653567841E-2</v>
      </c>
      <c r="O125">
        <v>14</v>
      </c>
      <c r="P125" t="s">
        <v>15</v>
      </c>
      <c r="Q125">
        <f>IF(Table1[[#This Row],[Compliance]]="Yes", 1, 0)</f>
        <v>1</v>
      </c>
    </row>
    <row r="126" spans="1:17" x14ac:dyDescent="0.35">
      <c r="A126" t="s">
        <v>151</v>
      </c>
      <c r="B126" t="s">
        <v>29</v>
      </c>
      <c r="C126" s="1">
        <v>45000</v>
      </c>
      <c r="D126" s="1">
        <v>45011</v>
      </c>
      <c r="E126" s="1">
        <f>SUM(Table1[[#This Row],[Delivery_Date]]-Table1[[#This Row],[Order_Date]])</f>
        <v>11</v>
      </c>
      <c r="F126" t="s">
        <v>39</v>
      </c>
      <c r="G126" t="s">
        <v>18</v>
      </c>
      <c r="H126">
        <v>237</v>
      </c>
      <c r="I126" s="4">
        <v>64.19</v>
      </c>
      <c r="J126" s="4">
        <v>59.01</v>
      </c>
      <c r="K126" s="4">
        <f>Table1[[#This Row],[Quantity]]*Table1[[#This Row],[Negotiated_Price]]</f>
        <v>13985.369999999999</v>
      </c>
      <c r="L126" s="4">
        <f>Table1[[#This Row],[Quantity]]*Table1[[#This Row],[Unit_Price]]</f>
        <v>15213.029999999999</v>
      </c>
      <c r="M126" s="4">
        <f>Table1[[#This Row],[Unit_Price]]-Table1[[#This Row],[Negotiated_Price]]</f>
        <v>5.18</v>
      </c>
      <c r="N126" s="3">
        <f>(Table1[[#This Row],[Unit_Price]]-Table1[[#This Row],[Negotiated_Price]])/Table1[[#This Row],[Unit_Price]]</f>
        <v>8.0697928026172303E-2</v>
      </c>
      <c r="O126">
        <v>7</v>
      </c>
      <c r="P126" t="s">
        <v>15</v>
      </c>
      <c r="Q126">
        <f>IF(Table1[[#This Row],[Compliance]]="Yes", 1, 0)</f>
        <v>1</v>
      </c>
    </row>
    <row r="127" spans="1:17" x14ac:dyDescent="0.35">
      <c r="A127" t="s">
        <v>152</v>
      </c>
      <c r="B127" t="s">
        <v>12</v>
      </c>
      <c r="C127" s="1">
        <v>45159</v>
      </c>
      <c r="D127" s="1">
        <v>45172</v>
      </c>
      <c r="E127" s="1">
        <f>SUM(Table1[[#This Row],[Delivery_Date]]-Table1[[#This Row],[Order_Date]])</f>
        <v>13</v>
      </c>
      <c r="F127" t="s">
        <v>13</v>
      </c>
      <c r="G127" t="s">
        <v>14</v>
      </c>
      <c r="H127">
        <v>429</v>
      </c>
      <c r="I127" s="4">
        <v>86.73</v>
      </c>
      <c r="J127" s="4">
        <v>75.09</v>
      </c>
      <c r="K127" s="4">
        <f>Table1[[#This Row],[Quantity]]*Table1[[#This Row],[Negotiated_Price]]</f>
        <v>32213.61</v>
      </c>
      <c r="L127" s="4">
        <f>Table1[[#This Row],[Quantity]]*Table1[[#This Row],[Unit_Price]]</f>
        <v>37207.17</v>
      </c>
      <c r="M127" s="4">
        <f>Table1[[#This Row],[Unit_Price]]-Table1[[#This Row],[Negotiated_Price]]</f>
        <v>11.64</v>
      </c>
      <c r="N127" s="3">
        <f>(Table1[[#This Row],[Unit_Price]]-Table1[[#This Row],[Negotiated_Price]])/Table1[[#This Row],[Unit_Price]]</f>
        <v>0.13420961604980974</v>
      </c>
      <c r="O127">
        <v>9</v>
      </c>
      <c r="P127" t="s">
        <v>15</v>
      </c>
      <c r="Q127">
        <f>IF(Table1[[#This Row],[Compliance]]="Yes", 1, 0)</f>
        <v>1</v>
      </c>
    </row>
    <row r="128" spans="1:17" x14ac:dyDescent="0.35">
      <c r="A128" t="s">
        <v>153</v>
      </c>
      <c r="B128" t="s">
        <v>17</v>
      </c>
      <c r="C128" s="1">
        <v>44970</v>
      </c>
      <c r="D128" s="1">
        <v>44971</v>
      </c>
      <c r="E128" s="1">
        <f>SUM(Table1[[#This Row],[Delivery_Date]]-Table1[[#This Row],[Order_Date]])</f>
        <v>1</v>
      </c>
      <c r="F128" t="s">
        <v>24</v>
      </c>
      <c r="G128" t="s">
        <v>18</v>
      </c>
      <c r="H128">
        <v>542</v>
      </c>
      <c r="I128" s="4">
        <v>101.21</v>
      </c>
      <c r="J128" s="4">
        <v>93.11</v>
      </c>
      <c r="K128" s="4">
        <f>Table1[[#This Row],[Quantity]]*Table1[[#This Row],[Negotiated_Price]]</f>
        <v>50465.62</v>
      </c>
      <c r="L128" s="4">
        <f>Table1[[#This Row],[Quantity]]*Table1[[#This Row],[Unit_Price]]</f>
        <v>54855.82</v>
      </c>
      <c r="M128" s="4">
        <f>Table1[[#This Row],[Unit_Price]]-Table1[[#This Row],[Negotiated_Price]]</f>
        <v>8.0999999999999943</v>
      </c>
      <c r="N128" s="3">
        <f>(Table1[[#This Row],[Unit_Price]]-Table1[[#This Row],[Negotiated_Price]])/Table1[[#This Row],[Unit_Price]]</f>
        <v>8.0031617429107749E-2</v>
      </c>
      <c r="O128">
        <v>78</v>
      </c>
      <c r="P128" t="s">
        <v>27</v>
      </c>
      <c r="Q128">
        <f>IF(Table1[[#This Row],[Compliance]]="Yes", 1, 0)</f>
        <v>0</v>
      </c>
    </row>
    <row r="129" spans="1:17" x14ac:dyDescent="0.35">
      <c r="A129" t="s">
        <v>154</v>
      </c>
      <c r="B129" t="s">
        <v>29</v>
      </c>
      <c r="C129" s="1">
        <v>44932</v>
      </c>
      <c r="D129" s="1">
        <v>44950</v>
      </c>
      <c r="E129" s="1">
        <f>SUM(Table1[[#This Row],[Delivery_Date]]-Table1[[#This Row],[Order_Date]])</f>
        <v>18</v>
      </c>
      <c r="F129" t="s">
        <v>39</v>
      </c>
      <c r="G129" t="s">
        <v>18</v>
      </c>
      <c r="H129">
        <v>1114</v>
      </c>
      <c r="I129" s="4">
        <v>91.66</v>
      </c>
      <c r="J129" s="4">
        <v>85.53</v>
      </c>
      <c r="K129" s="4">
        <f>Table1[[#This Row],[Quantity]]*Table1[[#This Row],[Negotiated_Price]]</f>
        <v>95280.42</v>
      </c>
      <c r="L129" s="4">
        <f>Table1[[#This Row],[Quantity]]*Table1[[#This Row],[Unit_Price]]</f>
        <v>102109.23999999999</v>
      </c>
      <c r="M129" s="4">
        <f>Table1[[#This Row],[Unit_Price]]-Table1[[#This Row],[Negotiated_Price]]</f>
        <v>6.1299999999999955</v>
      </c>
      <c r="N129" s="3">
        <f>(Table1[[#This Row],[Unit_Price]]-Table1[[#This Row],[Negotiated_Price]])/Table1[[#This Row],[Unit_Price]]</f>
        <v>6.6877591097534314E-2</v>
      </c>
      <c r="O129">
        <v>35</v>
      </c>
      <c r="P129" t="s">
        <v>15</v>
      </c>
      <c r="Q129">
        <f>IF(Table1[[#This Row],[Compliance]]="Yes", 1, 0)</f>
        <v>1</v>
      </c>
    </row>
    <row r="130" spans="1:17" x14ac:dyDescent="0.35">
      <c r="A130" t="s">
        <v>155</v>
      </c>
      <c r="B130" t="s">
        <v>12</v>
      </c>
      <c r="C130" s="1">
        <v>44786</v>
      </c>
      <c r="D130" s="1">
        <v>44788</v>
      </c>
      <c r="E130" s="1">
        <f>SUM(Table1[[#This Row],[Delivery_Date]]-Table1[[#This Row],[Order_Date]])</f>
        <v>2</v>
      </c>
      <c r="F130" t="s">
        <v>21</v>
      </c>
      <c r="G130" t="s">
        <v>18</v>
      </c>
      <c r="H130">
        <v>1230</v>
      </c>
      <c r="I130" s="4">
        <v>33.39</v>
      </c>
      <c r="J130" s="4">
        <v>30.85</v>
      </c>
      <c r="K130" s="4">
        <f>Table1[[#This Row],[Quantity]]*Table1[[#This Row],[Negotiated_Price]]</f>
        <v>37945.5</v>
      </c>
      <c r="L130" s="4">
        <f>Table1[[#This Row],[Quantity]]*Table1[[#This Row],[Unit_Price]]</f>
        <v>41069.699999999997</v>
      </c>
      <c r="M130" s="4">
        <f>Table1[[#This Row],[Unit_Price]]-Table1[[#This Row],[Negotiated_Price]]</f>
        <v>2.5399999999999991</v>
      </c>
      <c r="N130" s="3">
        <f>(Table1[[#This Row],[Unit_Price]]-Table1[[#This Row],[Negotiated_Price]])/Table1[[#This Row],[Unit_Price]]</f>
        <v>7.607067984426473E-2</v>
      </c>
      <c r="O130">
        <v>26</v>
      </c>
      <c r="P130" t="s">
        <v>15</v>
      </c>
      <c r="Q130">
        <f>IF(Table1[[#This Row],[Compliance]]="Yes", 1, 0)</f>
        <v>1</v>
      </c>
    </row>
    <row r="131" spans="1:17" x14ac:dyDescent="0.35">
      <c r="A131" t="s">
        <v>156</v>
      </c>
      <c r="B131" t="s">
        <v>23</v>
      </c>
      <c r="C131" s="1">
        <v>44703</v>
      </c>
      <c r="D131" s="1">
        <v>44715</v>
      </c>
      <c r="E131" s="1">
        <f>SUM(Table1[[#This Row],[Delivery_Date]]-Table1[[#This Row],[Order_Date]])</f>
        <v>12</v>
      </c>
      <c r="F131" t="s">
        <v>21</v>
      </c>
      <c r="G131" t="s">
        <v>18</v>
      </c>
      <c r="H131">
        <v>64</v>
      </c>
      <c r="I131" s="4">
        <v>51.56</v>
      </c>
      <c r="J131" s="4">
        <v>50.88</v>
      </c>
      <c r="K131" s="4">
        <f>Table1[[#This Row],[Quantity]]*Table1[[#This Row],[Negotiated_Price]]</f>
        <v>3256.32</v>
      </c>
      <c r="L131" s="4">
        <f>Table1[[#This Row],[Quantity]]*Table1[[#This Row],[Unit_Price]]</f>
        <v>3299.84</v>
      </c>
      <c r="M131" s="4">
        <f>Table1[[#This Row],[Unit_Price]]-Table1[[#This Row],[Negotiated_Price]]</f>
        <v>0.67999999999999972</v>
      </c>
      <c r="N131" s="3">
        <f>(Table1[[#This Row],[Unit_Price]]-Table1[[#This Row],[Negotiated_Price]])/Table1[[#This Row],[Unit_Price]]</f>
        <v>1.318851823118696E-2</v>
      </c>
      <c r="O131">
        <v>5</v>
      </c>
      <c r="P131" t="s">
        <v>15</v>
      </c>
      <c r="Q131">
        <f>IF(Table1[[#This Row],[Compliance]]="Yes", 1, 0)</f>
        <v>1</v>
      </c>
    </row>
    <row r="132" spans="1:17" x14ac:dyDescent="0.35">
      <c r="A132" t="s">
        <v>157</v>
      </c>
      <c r="B132" t="s">
        <v>12</v>
      </c>
      <c r="C132" s="1">
        <v>45083</v>
      </c>
      <c r="D132" s="1">
        <v>45099</v>
      </c>
      <c r="E132" s="1">
        <f>SUM(Table1[[#This Row],[Delivery_Date]]-Table1[[#This Row],[Order_Date]])</f>
        <v>16</v>
      </c>
      <c r="F132" t="s">
        <v>21</v>
      </c>
      <c r="G132" t="s">
        <v>18</v>
      </c>
      <c r="H132">
        <v>1886</v>
      </c>
      <c r="I132" s="4">
        <v>23.46</v>
      </c>
      <c r="J132" s="4">
        <v>23.18</v>
      </c>
      <c r="K132" s="4">
        <f>Table1[[#This Row],[Quantity]]*Table1[[#This Row],[Negotiated_Price]]</f>
        <v>43717.479999999996</v>
      </c>
      <c r="L132" s="4">
        <f>Table1[[#This Row],[Quantity]]*Table1[[#This Row],[Unit_Price]]</f>
        <v>44245.560000000005</v>
      </c>
      <c r="M132" s="4">
        <f>Table1[[#This Row],[Unit_Price]]-Table1[[#This Row],[Negotiated_Price]]</f>
        <v>0.28000000000000114</v>
      </c>
      <c r="N132" s="3">
        <f>(Table1[[#This Row],[Unit_Price]]-Table1[[#This Row],[Negotiated_Price]])/Table1[[#This Row],[Unit_Price]]</f>
        <v>1.1935208866155206E-2</v>
      </c>
      <c r="P132" t="s">
        <v>15</v>
      </c>
      <c r="Q132">
        <f>IF(Table1[[#This Row],[Compliance]]="Yes", 1, 0)</f>
        <v>1</v>
      </c>
    </row>
    <row r="133" spans="1:17" x14ac:dyDescent="0.35">
      <c r="A133" t="s">
        <v>158</v>
      </c>
      <c r="B133" t="s">
        <v>17</v>
      </c>
      <c r="C133" s="1">
        <v>45067</v>
      </c>
      <c r="D133" s="1">
        <v>45069</v>
      </c>
      <c r="E133" s="1">
        <f>SUM(Table1[[#This Row],[Delivery_Date]]-Table1[[#This Row],[Order_Date]])</f>
        <v>2</v>
      </c>
      <c r="F133" t="s">
        <v>13</v>
      </c>
      <c r="G133" t="s">
        <v>18</v>
      </c>
      <c r="H133">
        <v>114</v>
      </c>
      <c r="I133" s="4">
        <v>103.53</v>
      </c>
      <c r="J133" s="4">
        <v>101.54</v>
      </c>
      <c r="K133" s="4">
        <f>Table1[[#This Row],[Quantity]]*Table1[[#This Row],[Negotiated_Price]]</f>
        <v>11575.560000000001</v>
      </c>
      <c r="L133" s="4">
        <f>Table1[[#This Row],[Quantity]]*Table1[[#This Row],[Unit_Price]]</f>
        <v>11802.42</v>
      </c>
      <c r="M133" s="4">
        <f>Table1[[#This Row],[Unit_Price]]-Table1[[#This Row],[Negotiated_Price]]</f>
        <v>1.9899999999999949</v>
      </c>
      <c r="N133" s="3">
        <f>(Table1[[#This Row],[Unit_Price]]-Table1[[#This Row],[Negotiated_Price]])/Table1[[#This Row],[Unit_Price]]</f>
        <v>1.9221481696126676E-2</v>
      </c>
      <c r="O133">
        <v>14</v>
      </c>
      <c r="P133" t="s">
        <v>15</v>
      </c>
      <c r="Q133">
        <f>IF(Table1[[#This Row],[Compliance]]="Yes", 1, 0)</f>
        <v>1</v>
      </c>
    </row>
    <row r="134" spans="1:17" x14ac:dyDescent="0.35">
      <c r="A134" t="s">
        <v>159</v>
      </c>
      <c r="B134" t="s">
        <v>17</v>
      </c>
      <c r="C134" s="1">
        <v>44655</v>
      </c>
      <c r="D134" s="1">
        <v>44673</v>
      </c>
      <c r="E134" s="1">
        <f>SUM(Table1[[#This Row],[Delivery_Date]]-Table1[[#This Row],[Order_Date]])</f>
        <v>18</v>
      </c>
      <c r="F134" t="s">
        <v>39</v>
      </c>
      <c r="G134" t="s">
        <v>14</v>
      </c>
      <c r="H134">
        <v>1930</v>
      </c>
      <c r="I134" s="4">
        <v>65.52</v>
      </c>
      <c r="J134" s="4">
        <v>56.9</v>
      </c>
      <c r="K134" s="4">
        <f>Table1[[#This Row],[Quantity]]*Table1[[#This Row],[Negotiated_Price]]</f>
        <v>109817</v>
      </c>
      <c r="L134" s="4">
        <f>Table1[[#This Row],[Quantity]]*Table1[[#This Row],[Unit_Price]]</f>
        <v>126453.59999999999</v>
      </c>
      <c r="M134" s="4">
        <f>Table1[[#This Row],[Unit_Price]]-Table1[[#This Row],[Negotiated_Price]]</f>
        <v>8.6199999999999974</v>
      </c>
      <c r="N134" s="3">
        <f>(Table1[[#This Row],[Unit_Price]]-Table1[[#This Row],[Negotiated_Price]])/Table1[[#This Row],[Unit_Price]]</f>
        <v>0.13156288156288154</v>
      </c>
      <c r="O134">
        <v>282</v>
      </c>
      <c r="P134" t="s">
        <v>15</v>
      </c>
      <c r="Q134">
        <f>IF(Table1[[#This Row],[Compliance]]="Yes", 1, 0)</f>
        <v>1</v>
      </c>
    </row>
    <row r="135" spans="1:17" x14ac:dyDescent="0.35">
      <c r="A135" t="s">
        <v>160</v>
      </c>
      <c r="B135" t="s">
        <v>23</v>
      </c>
      <c r="C135" s="1">
        <v>44610</v>
      </c>
      <c r="D135" s="1">
        <v>44620</v>
      </c>
      <c r="E135" s="1">
        <f>SUM(Table1[[#This Row],[Delivery_Date]]-Table1[[#This Row],[Order_Date]])</f>
        <v>10</v>
      </c>
      <c r="F135" t="s">
        <v>13</v>
      </c>
      <c r="G135" t="s">
        <v>35</v>
      </c>
      <c r="H135">
        <v>1912</v>
      </c>
      <c r="I135" s="4">
        <v>30.73</v>
      </c>
      <c r="J135" s="4">
        <v>29.82</v>
      </c>
      <c r="K135" s="4">
        <f>Table1[[#This Row],[Quantity]]*Table1[[#This Row],[Negotiated_Price]]</f>
        <v>57015.840000000004</v>
      </c>
      <c r="L135" s="4">
        <f>Table1[[#This Row],[Quantity]]*Table1[[#This Row],[Unit_Price]]</f>
        <v>58755.76</v>
      </c>
      <c r="M135" s="4">
        <f>Table1[[#This Row],[Unit_Price]]-Table1[[#This Row],[Negotiated_Price]]</f>
        <v>0.91000000000000014</v>
      </c>
      <c r="N135" s="3">
        <f>(Table1[[#This Row],[Unit_Price]]-Table1[[#This Row],[Negotiated_Price]])/Table1[[#This Row],[Unit_Price]]</f>
        <v>2.9612756264236907E-2</v>
      </c>
      <c r="O135">
        <v>191</v>
      </c>
      <c r="P135" t="s">
        <v>15</v>
      </c>
      <c r="Q135">
        <f>IF(Table1[[#This Row],[Compliance]]="Yes", 1, 0)</f>
        <v>1</v>
      </c>
    </row>
    <row r="136" spans="1:17" x14ac:dyDescent="0.35">
      <c r="A136" t="s">
        <v>161</v>
      </c>
      <c r="B136" t="s">
        <v>29</v>
      </c>
      <c r="C136" s="1">
        <v>44674</v>
      </c>
      <c r="D136" s="1">
        <v>44690</v>
      </c>
      <c r="E136" s="1">
        <f>SUM(Table1[[#This Row],[Delivery_Date]]-Table1[[#This Row],[Order_Date]])</f>
        <v>16</v>
      </c>
      <c r="F136" t="s">
        <v>21</v>
      </c>
      <c r="G136" t="s">
        <v>18</v>
      </c>
      <c r="H136">
        <v>570</v>
      </c>
      <c r="I136" s="4">
        <v>71.510000000000005</v>
      </c>
      <c r="J136" s="4">
        <v>66.47</v>
      </c>
      <c r="K136" s="4">
        <f>Table1[[#This Row],[Quantity]]*Table1[[#This Row],[Negotiated_Price]]</f>
        <v>37887.9</v>
      </c>
      <c r="L136" s="4">
        <f>Table1[[#This Row],[Quantity]]*Table1[[#This Row],[Unit_Price]]</f>
        <v>40760.700000000004</v>
      </c>
      <c r="M136" s="4">
        <f>Table1[[#This Row],[Unit_Price]]-Table1[[#This Row],[Negotiated_Price]]</f>
        <v>5.0400000000000063</v>
      </c>
      <c r="N136" s="3">
        <f>(Table1[[#This Row],[Unit_Price]]-Table1[[#This Row],[Negotiated_Price]])/Table1[[#This Row],[Unit_Price]]</f>
        <v>7.0479653195357372E-2</v>
      </c>
      <c r="P136" t="s">
        <v>15</v>
      </c>
      <c r="Q136">
        <f>IF(Table1[[#This Row],[Compliance]]="Yes", 1, 0)</f>
        <v>1</v>
      </c>
    </row>
    <row r="137" spans="1:17" x14ac:dyDescent="0.35">
      <c r="A137" t="s">
        <v>162</v>
      </c>
      <c r="B137" t="s">
        <v>23</v>
      </c>
      <c r="C137" s="1">
        <v>44718</v>
      </c>
      <c r="D137" s="1">
        <v>44738</v>
      </c>
      <c r="E137" s="1">
        <f>SUM(Table1[[#This Row],[Delivery_Date]]-Table1[[#This Row],[Order_Date]])</f>
        <v>20</v>
      </c>
      <c r="F137" t="s">
        <v>26</v>
      </c>
      <c r="G137" t="s">
        <v>18</v>
      </c>
      <c r="H137">
        <v>1417</v>
      </c>
      <c r="I137" s="4">
        <v>67.27</v>
      </c>
      <c r="J137" s="4">
        <v>60.62</v>
      </c>
      <c r="K137" s="4">
        <f>Table1[[#This Row],[Quantity]]*Table1[[#This Row],[Negotiated_Price]]</f>
        <v>85898.54</v>
      </c>
      <c r="L137" s="4">
        <f>Table1[[#This Row],[Quantity]]*Table1[[#This Row],[Unit_Price]]</f>
        <v>95321.59</v>
      </c>
      <c r="M137" s="4">
        <f>Table1[[#This Row],[Unit_Price]]-Table1[[#This Row],[Negotiated_Price]]</f>
        <v>6.6499999999999986</v>
      </c>
      <c r="N137" s="3">
        <f>(Table1[[#This Row],[Unit_Price]]-Table1[[#This Row],[Negotiated_Price]])/Table1[[#This Row],[Unit_Price]]</f>
        <v>9.8855359001040574E-2</v>
      </c>
      <c r="P137" t="s">
        <v>15</v>
      </c>
      <c r="Q137">
        <f>IF(Table1[[#This Row],[Compliance]]="Yes", 1, 0)</f>
        <v>1</v>
      </c>
    </row>
    <row r="138" spans="1:17" x14ac:dyDescent="0.35">
      <c r="A138" t="s">
        <v>163</v>
      </c>
      <c r="B138" t="s">
        <v>12</v>
      </c>
      <c r="C138" s="1">
        <v>45204</v>
      </c>
      <c r="D138" s="1">
        <v>45210</v>
      </c>
      <c r="E138" s="1">
        <f>SUM(Table1[[#This Row],[Delivery_Date]]-Table1[[#This Row],[Order_Date]])</f>
        <v>6</v>
      </c>
      <c r="F138" t="s">
        <v>26</v>
      </c>
      <c r="G138" t="s">
        <v>18</v>
      </c>
      <c r="H138">
        <v>1202</v>
      </c>
      <c r="I138" s="4">
        <v>46.67</v>
      </c>
      <c r="J138" s="4">
        <v>44.13</v>
      </c>
      <c r="K138" s="4">
        <f>Table1[[#This Row],[Quantity]]*Table1[[#This Row],[Negotiated_Price]]</f>
        <v>53044.26</v>
      </c>
      <c r="L138" s="4">
        <f>Table1[[#This Row],[Quantity]]*Table1[[#This Row],[Unit_Price]]</f>
        <v>56097.340000000004</v>
      </c>
      <c r="M138" s="4">
        <f>Table1[[#This Row],[Unit_Price]]-Table1[[#This Row],[Negotiated_Price]]</f>
        <v>2.5399999999999991</v>
      </c>
      <c r="N138" s="3">
        <f>(Table1[[#This Row],[Unit_Price]]-Table1[[#This Row],[Negotiated_Price]])/Table1[[#This Row],[Unit_Price]]</f>
        <v>5.442468395114633E-2</v>
      </c>
      <c r="O138">
        <v>21</v>
      </c>
      <c r="P138" t="s">
        <v>27</v>
      </c>
      <c r="Q138">
        <f>IF(Table1[[#This Row],[Compliance]]="Yes", 1, 0)</f>
        <v>0</v>
      </c>
    </row>
    <row r="139" spans="1:17" x14ac:dyDescent="0.35">
      <c r="A139" t="s">
        <v>164</v>
      </c>
      <c r="B139" t="s">
        <v>23</v>
      </c>
      <c r="C139" s="1">
        <v>44725</v>
      </c>
      <c r="D139" s="1">
        <v>44726</v>
      </c>
      <c r="E139" s="1">
        <f>SUM(Table1[[#This Row],[Delivery_Date]]-Table1[[#This Row],[Order_Date]])</f>
        <v>1</v>
      </c>
      <c r="F139" t="s">
        <v>13</v>
      </c>
      <c r="G139" t="s">
        <v>18</v>
      </c>
      <c r="H139">
        <v>697</v>
      </c>
      <c r="I139" s="4">
        <v>20.73</v>
      </c>
      <c r="J139" s="4">
        <v>19.829999999999998</v>
      </c>
      <c r="K139" s="4">
        <f>Table1[[#This Row],[Quantity]]*Table1[[#This Row],[Negotiated_Price]]</f>
        <v>13821.509999999998</v>
      </c>
      <c r="L139" s="4">
        <f>Table1[[#This Row],[Quantity]]*Table1[[#This Row],[Unit_Price]]</f>
        <v>14448.81</v>
      </c>
      <c r="M139" s="4">
        <f>Table1[[#This Row],[Unit_Price]]-Table1[[#This Row],[Negotiated_Price]]</f>
        <v>0.90000000000000213</v>
      </c>
      <c r="N139" s="3">
        <f>(Table1[[#This Row],[Unit_Price]]-Table1[[#This Row],[Negotiated_Price]])/Table1[[#This Row],[Unit_Price]]</f>
        <v>4.3415340086830782E-2</v>
      </c>
      <c r="O139">
        <v>78</v>
      </c>
      <c r="P139" t="s">
        <v>27</v>
      </c>
      <c r="Q139">
        <f>IF(Table1[[#This Row],[Compliance]]="Yes", 1, 0)</f>
        <v>0</v>
      </c>
    </row>
    <row r="140" spans="1:17" x14ac:dyDescent="0.35">
      <c r="A140" t="s">
        <v>165</v>
      </c>
      <c r="B140" t="s">
        <v>29</v>
      </c>
      <c r="C140" s="1">
        <v>45258</v>
      </c>
      <c r="D140" s="1">
        <v>45261</v>
      </c>
      <c r="E140" s="1">
        <f>SUM(Table1[[#This Row],[Delivery_Date]]-Table1[[#This Row],[Order_Date]])</f>
        <v>3</v>
      </c>
      <c r="F140" t="s">
        <v>21</v>
      </c>
      <c r="G140" t="s">
        <v>18</v>
      </c>
      <c r="H140">
        <v>1545</v>
      </c>
      <c r="I140" s="4">
        <v>78.19</v>
      </c>
      <c r="J140" s="4">
        <v>76.91</v>
      </c>
      <c r="K140" s="4">
        <f>Table1[[#This Row],[Quantity]]*Table1[[#This Row],[Negotiated_Price]]</f>
        <v>118825.95</v>
      </c>
      <c r="L140" s="4">
        <f>Table1[[#This Row],[Quantity]]*Table1[[#This Row],[Unit_Price]]</f>
        <v>120803.55</v>
      </c>
      <c r="M140" s="4">
        <f>Table1[[#This Row],[Unit_Price]]-Table1[[#This Row],[Negotiated_Price]]</f>
        <v>1.2800000000000011</v>
      </c>
      <c r="N140" s="3">
        <f>(Table1[[#This Row],[Unit_Price]]-Table1[[#This Row],[Negotiated_Price]])/Table1[[#This Row],[Unit_Price]]</f>
        <v>1.6370379843969832E-2</v>
      </c>
      <c r="O140">
        <v>42</v>
      </c>
      <c r="P140" t="s">
        <v>15</v>
      </c>
      <c r="Q140">
        <f>IF(Table1[[#This Row],[Compliance]]="Yes", 1, 0)</f>
        <v>1</v>
      </c>
    </row>
    <row r="141" spans="1:17" x14ac:dyDescent="0.35">
      <c r="A141" t="s">
        <v>166</v>
      </c>
      <c r="B141" t="s">
        <v>20</v>
      </c>
      <c r="C141" s="1">
        <v>44994</v>
      </c>
      <c r="D141" s="1">
        <v>44998</v>
      </c>
      <c r="E141" s="1">
        <f>SUM(Table1[[#This Row],[Delivery_Date]]-Table1[[#This Row],[Order_Date]])</f>
        <v>4</v>
      </c>
      <c r="F141" t="s">
        <v>21</v>
      </c>
      <c r="G141" t="s">
        <v>33</v>
      </c>
      <c r="H141">
        <v>1136</v>
      </c>
      <c r="I141" s="4">
        <v>60.81</v>
      </c>
      <c r="J141" s="4">
        <v>58.25</v>
      </c>
      <c r="K141" s="4">
        <f>Table1[[#This Row],[Quantity]]*Table1[[#This Row],[Negotiated_Price]]</f>
        <v>66172</v>
      </c>
      <c r="L141" s="4">
        <f>Table1[[#This Row],[Quantity]]*Table1[[#This Row],[Unit_Price]]</f>
        <v>69080.160000000003</v>
      </c>
      <c r="M141" s="4">
        <f>Table1[[#This Row],[Unit_Price]]-Table1[[#This Row],[Negotiated_Price]]</f>
        <v>2.5600000000000023</v>
      </c>
      <c r="N141" s="3">
        <f>(Table1[[#This Row],[Unit_Price]]-Table1[[#This Row],[Negotiated_Price]])/Table1[[#This Row],[Unit_Price]]</f>
        <v>4.2098339088965667E-2</v>
      </c>
      <c r="O141">
        <v>62</v>
      </c>
      <c r="P141" t="s">
        <v>15</v>
      </c>
      <c r="Q141">
        <f>IF(Table1[[#This Row],[Compliance]]="Yes", 1, 0)</f>
        <v>1</v>
      </c>
    </row>
    <row r="142" spans="1:17" x14ac:dyDescent="0.35">
      <c r="A142" t="s">
        <v>167</v>
      </c>
      <c r="B142" t="s">
        <v>23</v>
      </c>
      <c r="C142" s="1">
        <v>45172</v>
      </c>
      <c r="D142" s="1">
        <v>45176</v>
      </c>
      <c r="E142" s="1">
        <f>SUM(Table1[[#This Row],[Delivery_Date]]-Table1[[#This Row],[Order_Date]])</f>
        <v>4</v>
      </c>
      <c r="F142" t="s">
        <v>21</v>
      </c>
      <c r="G142" t="s">
        <v>18</v>
      </c>
      <c r="H142">
        <v>1212</v>
      </c>
      <c r="I142" s="4">
        <v>87.46</v>
      </c>
      <c r="J142" s="4">
        <v>74.55</v>
      </c>
      <c r="K142" s="4">
        <f>Table1[[#This Row],[Quantity]]*Table1[[#This Row],[Negotiated_Price]]</f>
        <v>90354.599999999991</v>
      </c>
      <c r="L142" s="4">
        <f>Table1[[#This Row],[Quantity]]*Table1[[#This Row],[Unit_Price]]</f>
        <v>106001.51999999999</v>
      </c>
      <c r="M142" s="4">
        <f>Table1[[#This Row],[Unit_Price]]-Table1[[#This Row],[Negotiated_Price]]</f>
        <v>12.909999999999997</v>
      </c>
      <c r="N142" s="3">
        <f>(Table1[[#This Row],[Unit_Price]]-Table1[[#This Row],[Negotiated_Price]])/Table1[[#This Row],[Unit_Price]]</f>
        <v>0.14761033615367022</v>
      </c>
      <c r="O142">
        <v>118</v>
      </c>
      <c r="P142" t="s">
        <v>27</v>
      </c>
      <c r="Q142">
        <f>IF(Table1[[#This Row],[Compliance]]="Yes", 1, 0)</f>
        <v>0</v>
      </c>
    </row>
    <row r="143" spans="1:17" x14ac:dyDescent="0.35">
      <c r="A143" t="s">
        <v>168</v>
      </c>
      <c r="B143" t="s">
        <v>29</v>
      </c>
      <c r="C143" s="1">
        <v>44627</v>
      </c>
      <c r="D143" s="1">
        <v>44632</v>
      </c>
      <c r="E143" s="1">
        <f>SUM(Table1[[#This Row],[Delivery_Date]]-Table1[[#This Row],[Order_Date]])</f>
        <v>5</v>
      </c>
      <c r="F143" t="s">
        <v>21</v>
      </c>
      <c r="G143" t="s">
        <v>18</v>
      </c>
      <c r="H143">
        <v>1572</v>
      </c>
      <c r="I143" s="4">
        <v>57.38</v>
      </c>
      <c r="J143" s="4">
        <v>49.32</v>
      </c>
      <c r="K143" s="4">
        <f>Table1[[#This Row],[Quantity]]*Table1[[#This Row],[Negotiated_Price]]</f>
        <v>77531.039999999994</v>
      </c>
      <c r="L143" s="4">
        <f>Table1[[#This Row],[Quantity]]*Table1[[#This Row],[Unit_Price]]</f>
        <v>90201.36</v>
      </c>
      <c r="M143" s="4">
        <f>Table1[[#This Row],[Unit_Price]]-Table1[[#This Row],[Negotiated_Price]]</f>
        <v>8.0600000000000023</v>
      </c>
      <c r="N143" s="3">
        <f>(Table1[[#This Row],[Unit_Price]]-Table1[[#This Row],[Negotiated_Price]])/Table1[[#This Row],[Unit_Price]]</f>
        <v>0.14046706169397005</v>
      </c>
      <c r="O143">
        <v>40</v>
      </c>
      <c r="P143" t="s">
        <v>15</v>
      </c>
      <c r="Q143">
        <f>IF(Table1[[#This Row],[Compliance]]="Yes", 1, 0)</f>
        <v>1</v>
      </c>
    </row>
    <row r="144" spans="1:17" x14ac:dyDescent="0.35">
      <c r="A144" t="s">
        <v>169</v>
      </c>
      <c r="B144" t="s">
        <v>20</v>
      </c>
      <c r="C144" s="1">
        <v>44956</v>
      </c>
      <c r="D144" s="1">
        <v>44966</v>
      </c>
      <c r="E144" s="1">
        <f>SUM(Table1[[#This Row],[Delivery_Date]]-Table1[[#This Row],[Order_Date]])</f>
        <v>10</v>
      </c>
      <c r="F144" t="s">
        <v>39</v>
      </c>
      <c r="G144" t="s">
        <v>18</v>
      </c>
      <c r="H144">
        <v>642</v>
      </c>
      <c r="I144" s="4">
        <v>91.9</v>
      </c>
      <c r="J144" s="4">
        <v>81.489999999999995</v>
      </c>
      <c r="K144" s="4">
        <f>Table1[[#This Row],[Quantity]]*Table1[[#This Row],[Negotiated_Price]]</f>
        <v>52316.579999999994</v>
      </c>
      <c r="L144" s="4">
        <f>Table1[[#This Row],[Quantity]]*Table1[[#This Row],[Unit_Price]]</f>
        <v>58999.8</v>
      </c>
      <c r="M144" s="4">
        <f>Table1[[#This Row],[Unit_Price]]-Table1[[#This Row],[Negotiated_Price]]</f>
        <v>10.410000000000011</v>
      </c>
      <c r="N144" s="3">
        <f>(Table1[[#This Row],[Unit_Price]]-Table1[[#This Row],[Negotiated_Price]])/Table1[[#This Row],[Unit_Price]]</f>
        <v>0.11327529923830261</v>
      </c>
      <c r="O144">
        <v>26</v>
      </c>
      <c r="P144" t="s">
        <v>15</v>
      </c>
      <c r="Q144">
        <f>IF(Table1[[#This Row],[Compliance]]="Yes", 1, 0)</f>
        <v>1</v>
      </c>
    </row>
    <row r="145" spans="1:17" x14ac:dyDescent="0.35">
      <c r="A145" t="s">
        <v>170</v>
      </c>
      <c r="B145" t="s">
        <v>29</v>
      </c>
      <c r="C145" s="1">
        <v>44952</v>
      </c>
      <c r="D145" s="1">
        <v>44961</v>
      </c>
      <c r="E145" s="1">
        <f>SUM(Table1[[#This Row],[Delivery_Date]]-Table1[[#This Row],[Order_Date]])</f>
        <v>9</v>
      </c>
      <c r="F145" t="s">
        <v>13</v>
      </c>
      <c r="G145" t="s">
        <v>18</v>
      </c>
      <c r="H145">
        <v>441</v>
      </c>
      <c r="I145" s="4">
        <v>63.25</v>
      </c>
      <c r="J145" s="4">
        <v>54.12</v>
      </c>
      <c r="K145" s="4">
        <f>Table1[[#This Row],[Quantity]]*Table1[[#This Row],[Negotiated_Price]]</f>
        <v>23866.92</v>
      </c>
      <c r="L145" s="4">
        <f>Table1[[#This Row],[Quantity]]*Table1[[#This Row],[Unit_Price]]</f>
        <v>27893.25</v>
      </c>
      <c r="M145" s="4">
        <f>Table1[[#This Row],[Unit_Price]]-Table1[[#This Row],[Negotiated_Price]]</f>
        <v>9.1300000000000026</v>
      </c>
      <c r="N145" s="3">
        <f>(Table1[[#This Row],[Unit_Price]]-Table1[[#This Row],[Negotiated_Price]])/Table1[[#This Row],[Unit_Price]]</f>
        <v>0.14434782608695657</v>
      </c>
      <c r="O145">
        <v>16</v>
      </c>
      <c r="P145" t="s">
        <v>15</v>
      </c>
      <c r="Q145">
        <f>IF(Table1[[#This Row],[Compliance]]="Yes", 1, 0)</f>
        <v>1</v>
      </c>
    </row>
    <row r="146" spans="1:17" x14ac:dyDescent="0.35">
      <c r="A146" t="s">
        <v>171</v>
      </c>
      <c r="B146" t="s">
        <v>29</v>
      </c>
      <c r="C146" s="1">
        <v>45172</v>
      </c>
      <c r="D146" s="1">
        <v>45188</v>
      </c>
      <c r="E146" s="1">
        <f>SUM(Table1[[#This Row],[Delivery_Date]]-Table1[[#This Row],[Order_Date]])</f>
        <v>16</v>
      </c>
      <c r="F146" t="s">
        <v>13</v>
      </c>
      <c r="G146" t="s">
        <v>18</v>
      </c>
      <c r="H146">
        <v>1748</v>
      </c>
      <c r="I146" s="4">
        <v>66.53</v>
      </c>
      <c r="J146" s="4">
        <v>57.11</v>
      </c>
      <c r="K146" s="4">
        <f>Table1[[#This Row],[Quantity]]*Table1[[#This Row],[Negotiated_Price]]</f>
        <v>99828.28</v>
      </c>
      <c r="L146" s="4">
        <f>Table1[[#This Row],[Quantity]]*Table1[[#This Row],[Unit_Price]]</f>
        <v>116294.44</v>
      </c>
      <c r="M146" s="4">
        <f>Table1[[#This Row],[Unit_Price]]-Table1[[#This Row],[Negotiated_Price]]</f>
        <v>9.4200000000000017</v>
      </c>
      <c r="N146" s="3">
        <f>(Table1[[#This Row],[Unit_Price]]-Table1[[#This Row],[Negotiated_Price]])/Table1[[#This Row],[Unit_Price]]</f>
        <v>0.14159026003306782</v>
      </c>
      <c r="P146" t="s">
        <v>15</v>
      </c>
      <c r="Q146">
        <f>IF(Table1[[#This Row],[Compliance]]="Yes", 1, 0)</f>
        <v>1</v>
      </c>
    </row>
    <row r="147" spans="1:17" hidden="1" x14ac:dyDescent="0.35">
      <c r="A147" t="s">
        <v>172</v>
      </c>
      <c r="B147" t="s">
        <v>20</v>
      </c>
      <c r="C147" s="1">
        <v>45041</v>
      </c>
      <c r="E147" s="1">
        <f>SUM(Table1[[#This Row],[Delivery_Date]]-Table1[[#This Row],[Order_Date]])</f>
        <v>-45041</v>
      </c>
      <c r="F147" t="s">
        <v>39</v>
      </c>
      <c r="G147" t="s">
        <v>35</v>
      </c>
      <c r="H147">
        <v>468</v>
      </c>
      <c r="I147">
        <v>95.57</v>
      </c>
      <c r="J147">
        <v>91.8</v>
      </c>
      <c r="K147">
        <f>Table1[[#This Row],[Quantity]]*Table1[[#This Row],[Negotiated_Price]]</f>
        <v>42962.400000000001</v>
      </c>
      <c r="L147" s="5">
        <f>Table1[[#This Row],[Quantity]]*Table1[[#This Row],[Unit_Price]]</f>
        <v>44726.759999999995</v>
      </c>
      <c r="M147">
        <f>Table1[[#This Row],[Unit_Price]]-Table1[[#This Row],[Negotiated_Price]]</f>
        <v>3.769999999999996</v>
      </c>
      <c r="N147" s="2">
        <f>(Table1[[#This Row],[Unit_Price]]-Table1[[#This Row],[Negotiated_Price]])/Table1[[#This Row],[Unit_Price]]</f>
        <v>3.944752537407132E-2</v>
      </c>
      <c r="O147">
        <v>24</v>
      </c>
      <c r="P147" t="s">
        <v>15</v>
      </c>
      <c r="Q147">
        <f>IF(Table1[[#This Row],[Compliance]]="Yes", 1, 0)</f>
        <v>1</v>
      </c>
    </row>
    <row r="148" spans="1:17" x14ac:dyDescent="0.35">
      <c r="A148" t="s">
        <v>173</v>
      </c>
      <c r="B148" t="s">
        <v>23</v>
      </c>
      <c r="C148" s="1">
        <v>45103</v>
      </c>
      <c r="D148" s="1">
        <v>45121</v>
      </c>
      <c r="E148" s="1">
        <f>SUM(Table1[[#This Row],[Delivery_Date]]-Table1[[#This Row],[Order_Date]])</f>
        <v>18</v>
      </c>
      <c r="F148" t="s">
        <v>26</v>
      </c>
      <c r="G148" t="s">
        <v>18</v>
      </c>
      <c r="H148">
        <v>338</v>
      </c>
      <c r="I148" s="4">
        <v>50.25</v>
      </c>
      <c r="J148" s="4">
        <v>46.28</v>
      </c>
      <c r="K148" s="4">
        <f>Table1[[#This Row],[Quantity]]*Table1[[#This Row],[Negotiated_Price]]</f>
        <v>15642.640000000001</v>
      </c>
      <c r="L148" s="4">
        <f>Table1[[#This Row],[Quantity]]*Table1[[#This Row],[Unit_Price]]</f>
        <v>16984.5</v>
      </c>
      <c r="M148" s="4">
        <f>Table1[[#This Row],[Unit_Price]]-Table1[[#This Row],[Negotiated_Price]]</f>
        <v>3.9699999999999989</v>
      </c>
      <c r="N148" s="3">
        <f>(Table1[[#This Row],[Unit_Price]]-Table1[[#This Row],[Negotiated_Price]])/Table1[[#This Row],[Unit_Price]]</f>
        <v>7.9004975124378082E-2</v>
      </c>
      <c r="O148">
        <v>49</v>
      </c>
      <c r="P148" t="s">
        <v>27</v>
      </c>
      <c r="Q148">
        <f>IF(Table1[[#This Row],[Compliance]]="Yes", 1, 0)</f>
        <v>0</v>
      </c>
    </row>
    <row r="149" spans="1:17" x14ac:dyDescent="0.35">
      <c r="A149" t="s">
        <v>174</v>
      </c>
      <c r="B149" t="s">
        <v>20</v>
      </c>
      <c r="C149" s="1">
        <v>44819</v>
      </c>
      <c r="D149" s="1">
        <v>44826</v>
      </c>
      <c r="E149" s="1">
        <f>SUM(Table1[[#This Row],[Delivery_Date]]-Table1[[#This Row],[Order_Date]])</f>
        <v>7</v>
      </c>
      <c r="F149" t="s">
        <v>13</v>
      </c>
      <c r="G149" t="s">
        <v>18</v>
      </c>
      <c r="H149">
        <v>428</v>
      </c>
      <c r="I149" s="4">
        <v>22.94</v>
      </c>
      <c r="J149" s="4">
        <v>21.52</v>
      </c>
      <c r="K149" s="4">
        <f>Table1[[#This Row],[Quantity]]*Table1[[#This Row],[Negotiated_Price]]</f>
        <v>9210.56</v>
      </c>
      <c r="L149" s="4">
        <f>Table1[[#This Row],[Quantity]]*Table1[[#This Row],[Unit_Price]]</f>
        <v>9818.32</v>
      </c>
      <c r="M149" s="4">
        <f>Table1[[#This Row],[Unit_Price]]-Table1[[#This Row],[Negotiated_Price]]</f>
        <v>1.4200000000000017</v>
      </c>
      <c r="N149" s="3">
        <f>(Table1[[#This Row],[Unit_Price]]-Table1[[#This Row],[Negotiated_Price]])/Table1[[#This Row],[Unit_Price]]</f>
        <v>6.1900610287707131E-2</v>
      </c>
      <c r="O149">
        <v>26</v>
      </c>
      <c r="P149" t="s">
        <v>15</v>
      </c>
      <c r="Q149">
        <f>IF(Table1[[#This Row],[Compliance]]="Yes", 1, 0)</f>
        <v>1</v>
      </c>
    </row>
    <row r="150" spans="1:17" hidden="1" x14ac:dyDescent="0.35">
      <c r="A150" t="s">
        <v>175</v>
      </c>
      <c r="B150" t="s">
        <v>23</v>
      </c>
      <c r="C150" s="1">
        <v>45128</v>
      </c>
      <c r="E150" s="1">
        <f>SUM(Table1[[#This Row],[Delivery_Date]]-Table1[[#This Row],[Order_Date]])</f>
        <v>-45128</v>
      </c>
      <c r="F150" t="s">
        <v>24</v>
      </c>
      <c r="G150" t="s">
        <v>18</v>
      </c>
      <c r="H150">
        <v>1846</v>
      </c>
      <c r="I150">
        <v>13.72</v>
      </c>
      <c r="J150">
        <v>12.62</v>
      </c>
      <c r="K150">
        <f>Table1[[#This Row],[Quantity]]*Table1[[#This Row],[Negotiated_Price]]</f>
        <v>23296.519999999997</v>
      </c>
      <c r="L150" s="5">
        <f>Table1[[#This Row],[Quantity]]*Table1[[#This Row],[Unit_Price]]</f>
        <v>25327.120000000003</v>
      </c>
      <c r="M150">
        <f>Table1[[#This Row],[Unit_Price]]-Table1[[#This Row],[Negotiated_Price]]</f>
        <v>1.1000000000000014</v>
      </c>
      <c r="N150" s="2">
        <f>(Table1[[#This Row],[Unit_Price]]-Table1[[#This Row],[Negotiated_Price]])/Table1[[#This Row],[Unit_Price]]</f>
        <v>8.0174927113702721E-2</v>
      </c>
      <c r="O150">
        <v>216</v>
      </c>
      <c r="P150" t="s">
        <v>15</v>
      </c>
      <c r="Q150">
        <f>IF(Table1[[#This Row],[Compliance]]="Yes", 1, 0)</f>
        <v>1</v>
      </c>
    </row>
    <row r="151" spans="1:17" x14ac:dyDescent="0.35">
      <c r="A151" t="s">
        <v>176</v>
      </c>
      <c r="B151" t="s">
        <v>29</v>
      </c>
      <c r="C151" s="1">
        <v>44573</v>
      </c>
      <c r="D151" s="1">
        <v>44578</v>
      </c>
      <c r="E151" s="1">
        <f>SUM(Table1[[#This Row],[Delivery_Date]]-Table1[[#This Row],[Order_Date]])</f>
        <v>5</v>
      </c>
      <c r="F151" t="s">
        <v>13</v>
      </c>
      <c r="G151" t="s">
        <v>18</v>
      </c>
      <c r="H151">
        <v>1563</v>
      </c>
      <c r="I151" s="4">
        <v>77.959999999999994</v>
      </c>
      <c r="J151" s="4">
        <v>70.8</v>
      </c>
      <c r="K151" s="4">
        <f>Table1[[#This Row],[Quantity]]*Table1[[#This Row],[Negotiated_Price]]</f>
        <v>110660.4</v>
      </c>
      <c r="L151" s="4">
        <f>Table1[[#This Row],[Quantity]]*Table1[[#This Row],[Unit_Price]]</f>
        <v>121851.48</v>
      </c>
      <c r="M151" s="4">
        <f>Table1[[#This Row],[Unit_Price]]-Table1[[#This Row],[Negotiated_Price]]</f>
        <v>7.1599999999999966</v>
      </c>
      <c r="N151" s="3">
        <f>(Table1[[#This Row],[Unit_Price]]-Table1[[#This Row],[Negotiated_Price]])/Table1[[#This Row],[Unit_Price]]</f>
        <v>9.1841970241149276E-2</v>
      </c>
      <c r="O151">
        <v>41</v>
      </c>
      <c r="P151" t="s">
        <v>15</v>
      </c>
      <c r="Q151">
        <f>IF(Table1[[#This Row],[Compliance]]="Yes", 1, 0)</f>
        <v>1</v>
      </c>
    </row>
    <row r="152" spans="1:17" x14ac:dyDescent="0.35">
      <c r="A152" t="s">
        <v>177</v>
      </c>
      <c r="B152" t="s">
        <v>23</v>
      </c>
      <c r="C152" s="1">
        <v>45258</v>
      </c>
      <c r="D152" s="1">
        <v>45267</v>
      </c>
      <c r="E152" s="1">
        <f>SUM(Table1[[#This Row],[Delivery_Date]]-Table1[[#This Row],[Order_Date]])</f>
        <v>9</v>
      </c>
      <c r="F152" t="s">
        <v>13</v>
      </c>
      <c r="G152" t="s">
        <v>18</v>
      </c>
      <c r="H152">
        <v>280</v>
      </c>
      <c r="I152" s="4">
        <v>73.069999999999993</v>
      </c>
      <c r="J152" s="4">
        <v>69.290000000000006</v>
      </c>
      <c r="K152" s="4">
        <f>Table1[[#This Row],[Quantity]]*Table1[[#This Row],[Negotiated_Price]]</f>
        <v>19401.2</v>
      </c>
      <c r="L152" s="4">
        <f>Table1[[#This Row],[Quantity]]*Table1[[#This Row],[Unit_Price]]</f>
        <v>20459.599999999999</v>
      </c>
      <c r="M152" s="4">
        <f>Table1[[#This Row],[Unit_Price]]-Table1[[#This Row],[Negotiated_Price]]</f>
        <v>3.7799999999999869</v>
      </c>
      <c r="N152" s="3">
        <f>(Table1[[#This Row],[Unit_Price]]-Table1[[#This Row],[Negotiated_Price]])/Table1[[#This Row],[Unit_Price]]</f>
        <v>5.17312166415764E-2</v>
      </c>
      <c r="O152">
        <v>30</v>
      </c>
      <c r="P152" t="s">
        <v>15</v>
      </c>
      <c r="Q152">
        <f>IF(Table1[[#This Row],[Compliance]]="Yes", 1, 0)</f>
        <v>1</v>
      </c>
    </row>
    <row r="153" spans="1:17" x14ac:dyDescent="0.35">
      <c r="A153" t="s">
        <v>178</v>
      </c>
      <c r="B153" t="s">
        <v>17</v>
      </c>
      <c r="C153" s="1">
        <v>44679</v>
      </c>
      <c r="D153" s="1">
        <v>44693</v>
      </c>
      <c r="E153" s="1">
        <f>SUM(Table1[[#This Row],[Delivery_Date]]-Table1[[#This Row],[Order_Date]])</f>
        <v>14</v>
      </c>
      <c r="F153" t="s">
        <v>26</v>
      </c>
      <c r="G153" t="s">
        <v>18</v>
      </c>
      <c r="H153">
        <v>1067</v>
      </c>
      <c r="I153" s="4">
        <v>74.47</v>
      </c>
      <c r="J153" s="4">
        <v>64.16</v>
      </c>
      <c r="K153" s="4">
        <f>Table1[[#This Row],[Quantity]]*Table1[[#This Row],[Negotiated_Price]]</f>
        <v>68458.720000000001</v>
      </c>
      <c r="L153" s="4">
        <f>Table1[[#This Row],[Quantity]]*Table1[[#This Row],[Unit_Price]]</f>
        <v>79459.490000000005</v>
      </c>
      <c r="M153" s="4">
        <f>Table1[[#This Row],[Unit_Price]]-Table1[[#This Row],[Negotiated_Price]]</f>
        <v>10.310000000000002</v>
      </c>
      <c r="N153" s="3">
        <f>(Table1[[#This Row],[Unit_Price]]-Table1[[#This Row],[Negotiated_Price]])/Table1[[#This Row],[Unit_Price]]</f>
        <v>0.13844501141399224</v>
      </c>
      <c r="P153" t="s">
        <v>27</v>
      </c>
      <c r="Q153">
        <f>IF(Table1[[#This Row],[Compliance]]="Yes", 1, 0)</f>
        <v>0</v>
      </c>
    </row>
    <row r="154" spans="1:17" x14ac:dyDescent="0.35">
      <c r="A154" t="s">
        <v>179</v>
      </c>
      <c r="B154" t="s">
        <v>20</v>
      </c>
      <c r="C154" s="1">
        <v>45260</v>
      </c>
      <c r="D154" s="1">
        <v>45277</v>
      </c>
      <c r="E154" s="1">
        <f>SUM(Table1[[#This Row],[Delivery_Date]]-Table1[[#This Row],[Order_Date]])</f>
        <v>17</v>
      </c>
      <c r="F154" t="s">
        <v>39</v>
      </c>
      <c r="G154" t="s">
        <v>35</v>
      </c>
      <c r="H154">
        <v>90</v>
      </c>
      <c r="I154" s="4">
        <v>32.380000000000003</v>
      </c>
      <c r="J154" s="4">
        <v>29.96</v>
      </c>
      <c r="K154" s="4">
        <f>Table1[[#This Row],[Quantity]]*Table1[[#This Row],[Negotiated_Price]]</f>
        <v>2696.4</v>
      </c>
      <c r="L154" s="4">
        <f>Table1[[#This Row],[Quantity]]*Table1[[#This Row],[Unit_Price]]</f>
        <v>2914.2000000000003</v>
      </c>
      <c r="M154" s="4">
        <f>Table1[[#This Row],[Unit_Price]]-Table1[[#This Row],[Negotiated_Price]]</f>
        <v>2.4200000000000017</v>
      </c>
      <c r="N154" s="3">
        <f>(Table1[[#This Row],[Unit_Price]]-Table1[[#This Row],[Negotiated_Price]])/Table1[[#This Row],[Unit_Price]]</f>
        <v>7.4737492279184733E-2</v>
      </c>
      <c r="O154">
        <v>7</v>
      </c>
      <c r="P154" t="s">
        <v>15</v>
      </c>
      <c r="Q154">
        <f>IF(Table1[[#This Row],[Compliance]]="Yes", 1, 0)</f>
        <v>1</v>
      </c>
    </row>
    <row r="155" spans="1:17" x14ac:dyDescent="0.35">
      <c r="A155" t="s">
        <v>180</v>
      </c>
      <c r="B155" t="s">
        <v>20</v>
      </c>
      <c r="C155" s="1">
        <v>45111</v>
      </c>
      <c r="D155" s="1">
        <v>45112</v>
      </c>
      <c r="E155" s="1">
        <f>SUM(Table1[[#This Row],[Delivery_Date]]-Table1[[#This Row],[Order_Date]])</f>
        <v>1</v>
      </c>
      <c r="F155" t="s">
        <v>26</v>
      </c>
      <c r="G155" t="s">
        <v>18</v>
      </c>
      <c r="H155">
        <v>1101</v>
      </c>
      <c r="I155" s="4">
        <v>24.28</v>
      </c>
      <c r="J155" s="4">
        <v>22.73</v>
      </c>
      <c r="K155" s="4">
        <f>Table1[[#This Row],[Quantity]]*Table1[[#This Row],[Negotiated_Price]]</f>
        <v>25025.73</v>
      </c>
      <c r="L155" s="4">
        <f>Table1[[#This Row],[Quantity]]*Table1[[#This Row],[Unit_Price]]</f>
        <v>26732.280000000002</v>
      </c>
      <c r="M155" s="4">
        <f>Table1[[#This Row],[Unit_Price]]-Table1[[#This Row],[Negotiated_Price]]</f>
        <v>1.5500000000000007</v>
      </c>
      <c r="N155" s="3">
        <f>(Table1[[#This Row],[Unit_Price]]-Table1[[#This Row],[Negotiated_Price]])/Table1[[#This Row],[Unit_Price]]</f>
        <v>6.3838550247117001E-2</v>
      </c>
      <c r="O155">
        <v>59</v>
      </c>
      <c r="P155" t="s">
        <v>27</v>
      </c>
      <c r="Q155">
        <f>IF(Table1[[#This Row],[Compliance]]="Yes", 1, 0)</f>
        <v>0</v>
      </c>
    </row>
    <row r="156" spans="1:17" x14ac:dyDescent="0.35">
      <c r="A156" t="s">
        <v>181</v>
      </c>
      <c r="B156" t="s">
        <v>12</v>
      </c>
      <c r="C156" s="1">
        <v>44835</v>
      </c>
      <c r="D156" s="1">
        <v>44845</v>
      </c>
      <c r="E156" s="1">
        <f>SUM(Table1[[#This Row],[Delivery_Date]]-Table1[[#This Row],[Order_Date]])</f>
        <v>10</v>
      </c>
      <c r="F156" t="s">
        <v>26</v>
      </c>
      <c r="G156" t="s">
        <v>18</v>
      </c>
      <c r="H156">
        <v>184</v>
      </c>
      <c r="I156" s="4">
        <v>11.82</v>
      </c>
      <c r="J156" s="4">
        <v>10.51</v>
      </c>
      <c r="K156" s="4">
        <f>Table1[[#This Row],[Quantity]]*Table1[[#This Row],[Negotiated_Price]]</f>
        <v>1933.84</v>
      </c>
      <c r="L156" s="4">
        <f>Table1[[#This Row],[Quantity]]*Table1[[#This Row],[Unit_Price]]</f>
        <v>2174.88</v>
      </c>
      <c r="M156" s="4">
        <f>Table1[[#This Row],[Unit_Price]]-Table1[[#This Row],[Negotiated_Price]]</f>
        <v>1.3100000000000005</v>
      </c>
      <c r="N156" s="3">
        <f>(Table1[[#This Row],[Unit_Price]]-Table1[[#This Row],[Negotiated_Price]])/Table1[[#This Row],[Unit_Price]]</f>
        <v>0.11082910321489006</v>
      </c>
      <c r="O156">
        <v>4</v>
      </c>
      <c r="P156" t="s">
        <v>15</v>
      </c>
      <c r="Q156">
        <f>IF(Table1[[#This Row],[Compliance]]="Yes", 1, 0)</f>
        <v>1</v>
      </c>
    </row>
    <row r="157" spans="1:17" x14ac:dyDescent="0.35">
      <c r="A157" t="s">
        <v>182</v>
      </c>
      <c r="B157" t="s">
        <v>29</v>
      </c>
      <c r="C157" s="1">
        <v>45218</v>
      </c>
      <c r="D157" s="1">
        <v>45237</v>
      </c>
      <c r="E157" s="1">
        <f>SUM(Table1[[#This Row],[Delivery_Date]]-Table1[[#This Row],[Order_Date]])</f>
        <v>19</v>
      </c>
      <c r="F157" t="s">
        <v>39</v>
      </c>
      <c r="G157" t="s">
        <v>18</v>
      </c>
      <c r="H157">
        <v>250</v>
      </c>
      <c r="I157" s="4">
        <v>45.92</v>
      </c>
      <c r="J157" s="4">
        <v>41.02</v>
      </c>
      <c r="K157" s="4">
        <f>Table1[[#This Row],[Quantity]]*Table1[[#This Row],[Negotiated_Price]]</f>
        <v>10255</v>
      </c>
      <c r="L157" s="4">
        <f>Table1[[#This Row],[Quantity]]*Table1[[#This Row],[Unit_Price]]</f>
        <v>11480</v>
      </c>
      <c r="M157" s="4">
        <f>Table1[[#This Row],[Unit_Price]]-Table1[[#This Row],[Negotiated_Price]]</f>
        <v>4.8999999999999986</v>
      </c>
      <c r="N157" s="3">
        <f>(Table1[[#This Row],[Unit_Price]]-Table1[[#This Row],[Negotiated_Price]])/Table1[[#This Row],[Unit_Price]]</f>
        <v>0.1067073170731707</v>
      </c>
      <c r="O157">
        <v>3</v>
      </c>
      <c r="P157" t="s">
        <v>15</v>
      </c>
      <c r="Q157">
        <f>IF(Table1[[#This Row],[Compliance]]="Yes", 1, 0)</f>
        <v>1</v>
      </c>
    </row>
    <row r="158" spans="1:17" hidden="1" x14ac:dyDescent="0.35">
      <c r="A158" t="s">
        <v>183</v>
      </c>
      <c r="B158" t="s">
        <v>29</v>
      </c>
      <c r="C158" s="1">
        <v>44910</v>
      </c>
      <c r="E158" s="1">
        <f>SUM(Table1[[#This Row],[Delivery_Date]]-Table1[[#This Row],[Order_Date]])</f>
        <v>-44910</v>
      </c>
      <c r="F158" t="s">
        <v>24</v>
      </c>
      <c r="G158" t="s">
        <v>14</v>
      </c>
      <c r="H158">
        <v>1913</v>
      </c>
      <c r="I158">
        <v>66.56</v>
      </c>
      <c r="J158">
        <v>61.34</v>
      </c>
      <c r="K158">
        <f>Table1[[#This Row],[Quantity]]*Table1[[#This Row],[Negotiated_Price]]</f>
        <v>117343.42000000001</v>
      </c>
      <c r="L158" s="5">
        <f>Table1[[#This Row],[Quantity]]*Table1[[#This Row],[Unit_Price]]</f>
        <v>127329.28</v>
      </c>
      <c r="M158">
        <f>Table1[[#This Row],[Unit_Price]]-Table1[[#This Row],[Negotiated_Price]]</f>
        <v>5.2199999999999989</v>
      </c>
      <c r="N158" s="2">
        <f>(Table1[[#This Row],[Unit_Price]]-Table1[[#This Row],[Negotiated_Price]])/Table1[[#This Row],[Unit_Price]]</f>
        <v>7.8425480769230754E-2</v>
      </c>
      <c r="O158">
        <v>61</v>
      </c>
      <c r="P158" t="s">
        <v>15</v>
      </c>
      <c r="Q158">
        <f>IF(Table1[[#This Row],[Compliance]]="Yes", 1, 0)</f>
        <v>1</v>
      </c>
    </row>
    <row r="159" spans="1:17" x14ac:dyDescent="0.35">
      <c r="A159" t="s">
        <v>184</v>
      </c>
      <c r="B159" t="s">
        <v>23</v>
      </c>
      <c r="C159" s="1">
        <v>44676</v>
      </c>
      <c r="D159" s="1">
        <v>44681</v>
      </c>
      <c r="E159" s="1">
        <f>SUM(Table1[[#This Row],[Delivery_Date]]-Table1[[#This Row],[Order_Date]])</f>
        <v>5</v>
      </c>
      <c r="F159" t="s">
        <v>39</v>
      </c>
      <c r="G159" t="s">
        <v>18</v>
      </c>
      <c r="H159">
        <v>829</v>
      </c>
      <c r="I159" s="4">
        <v>45.98</v>
      </c>
      <c r="J159" s="4">
        <v>40.39</v>
      </c>
      <c r="K159" s="4">
        <f>Table1[[#This Row],[Quantity]]*Table1[[#This Row],[Negotiated_Price]]</f>
        <v>33483.31</v>
      </c>
      <c r="L159" s="4">
        <f>Table1[[#This Row],[Quantity]]*Table1[[#This Row],[Unit_Price]]</f>
        <v>38117.42</v>
      </c>
      <c r="M159" s="4">
        <f>Table1[[#This Row],[Unit_Price]]-Table1[[#This Row],[Negotiated_Price]]</f>
        <v>5.5899999999999963</v>
      </c>
      <c r="N159" s="3">
        <f>(Table1[[#This Row],[Unit_Price]]-Table1[[#This Row],[Negotiated_Price]])/Table1[[#This Row],[Unit_Price]]</f>
        <v>0.1215745976511526</v>
      </c>
      <c r="P159" t="s">
        <v>15</v>
      </c>
      <c r="Q159">
        <f>IF(Table1[[#This Row],[Compliance]]="Yes", 1, 0)</f>
        <v>1</v>
      </c>
    </row>
    <row r="160" spans="1:17" x14ac:dyDescent="0.35">
      <c r="A160" t="s">
        <v>185</v>
      </c>
      <c r="B160" t="s">
        <v>17</v>
      </c>
      <c r="C160" s="1">
        <v>44862</v>
      </c>
      <c r="D160" s="1">
        <v>44878</v>
      </c>
      <c r="E160" s="1">
        <f>SUM(Table1[[#This Row],[Delivery_Date]]-Table1[[#This Row],[Order_Date]])</f>
        <v>16</v>
      </c>
      <c r="F160" t="s">
        <v>26</v>
      </c>
      <c r="G160" t="s">
        <v>18</v>
      </c>
      <c r="H160">
        <v>979</v>
      </c>
      <c r="I160" s="4">
        <v>51.59</v>
      </c>
      <c r="J160" s="4">
        <v>49.69</v>
      </c>
      <c r="K160" s="4">
        <f>Table1[[#This Row],[Quantity]]*Table1[[#This Row],[Negotiated_Price]]</f>
        <v>48646.509999999995</v>
      </c>
      <c r="L160" s="4">
        <f>Table1[[#This Row],[Quantity]]*Table1[[#This Row],[Unit_Price]]</f>
        <v>50506.61</v>
      </c>
      <c r="M160" s="4">
        <f>Table1[[#This Row],[Unit_Price]]-Table1[[#This Row],[Negotiated_Price]]</f>
        <v>1.9000000000000057</v>
      </c>
      <c r="N160" s="3">
        <f>(Table1[[#This Row],[Unit_Price]]-Table1[[#This Row],[Negotiated_Price]])/Table1[[#This Row],[Unit_Price]]</f>
        <v>3.6828842798992158E-2</v>
      </c>
      <c r="O160">
        <v>148</v>
      </c>
      <c r="P160" t="s">
        <v>15</v>
      </c>
      <c r="Q160">
        <f>IF(Table1[[#This Row],[Compliance]]="Yes", 1, 0)</f>
        <v>1</v>
      </c>
    </row>
    <row r="161" spans="1:17" x14ac:dyDescent="0.35">
      <c r="A161" t="s">
        <v>186</v>
      </c>
      <c r="B161" t="s">
        <v>29</v>
      </c>
      <c r="C161" s="1">
        <v>45007</v>
      </c>
      <c r="D161" s="1">
        <v>45025</v>
      </c>
      <c r="E161" s="1">
        <f>SUM(Table1[[#This Row],[Delivery_Date]]-Table1[[#This Row],[Order_Date]])</f>
        <v>18</v>
      </c>
      <c r="F161" t="s">
        <v>39</v>
      </c>
      <c r="G161" t="s">
        <v>33</v>
      </c>
      <c r="H161">
        <v>1106</v>
      </c>
      <c r="I161" s="4">
        <v>97.77</v>
      </c>
      <c r="J161" s="4">
        <v>90.45</v>
      </c>
      <c r="K161" s="4">
        <f>Table1[[#This Row],[Quantity]]*Table1[[#This Row],[Negotiated_Price]]</f>
        <v>100037.7</v>
      </c>
      <c r="L161" s="4">
        <f>Table1[[#This Row],[Quantity]]*Table1[[#This Row],[Unit_Price]]</f>
        <v>108133.62</v>
      </c>
      <c r="M161" s="4">
        <f>Table1[[#This Row],[Unit_Price]]-Table1[[#This Row],[Negotiated_Price]]</f>
        <v>7.3199999999999932</v>
      </c>
      <c r="N161" s="3">
        <f>(Table1[[#This Row],[Unit_Price]]-Table1[[#This Row],[Negotiated_Price]])/Table1[[#This Row],[Unit_Price]]</f>
        <v>7.4869591899355561E-2</v>
      </c>
      <c r="O161">
        <v>31</v>
      </c>
      <c r="P161" t="s">
        <v>15</v>
      </c>
      <c r="Q161">
        <f>IF(Table1[[#This Row],[Compliance]]="Yes", 1, 0)</f>
        <v>1</v>
      </c>
    </row>
    <row r="162" spans="1:17" x14ac:dyDescent="0.35">
      <c r="A162" t="s">
        <v>187</v>
      </c>
      <c r="B162" t="s">
        <v>17</v>
      </c>
      <c r="C162" s="1">
        <v>44723</v>
      </c>
      <c r="D162" s="1">
        <v>44736</v>
      </c>
      <c r="E162" s="1">
        <f>SUM(Table1[[#This Row],[Delivery_Date]]-Table1[[#This Row],[Order_Date]])</f>
        <v>13</v>
      </c>
      <c r="F162" t="s">
        <v>13</v>
      </c>
      <c r="G162" t="s">
        <v>35</v>
      </c>
      <c r="H162">
        <v>1121</v>
      </c>
      <c r="I162" s="4">
        <v>42.38</v>
      </c>
      <c r="J162" s="4">
        <v>38.340000000000003</v>
      </c>
      <c r="K162" s="4">
        <f>Table1[[#This Row],[Quantity]]*Table1[[#This Row],[Negotiated_Price]]</f>
        <v>42979.140000000007</v>
      </c>
      <c r="L162" s="4">
        <f>Table1[[#This Row],[Quantity]]*Table1[[#This Row],[Unit_Price]]</f>
        <v>47507.98</v>
      </c>
      <c r="M162" s="4">
        <f>Table1[[#This Row],[Unit_Price]]-Table1[[#This Row],[Negotiated_Price]]</f>
        <v>4.0399999999999991</v>
      </c>
      <c r="N162" s="3">
        <f>(Table1[[#This Row],[Unit_Price]]-Table1[[#This Row],[Negotiated_Price]])/Table1[[#This Row],[Unit_Price]]</f>
        <v>9.5327984898537013E-2</v>
      </c>
      <c r="O162">
        <v>152</v>
      </c>
      <c r="P162" t="s">
        <v>15</v>
      </c>
      <c r="Q162">
        <f>IF(Table1[[#This Row],[Compliance]]="Yes", 1, 0)</f>
        <v>1</v>
      </c>
    </row>
    <row r="163" spans="1:17" x14ac:dyDescent="0.35">
      <c r="A163" t="s">
        <v>188</v>
      </c>
      <c r="B163" t="s">
        <v>12</v>
      </c>
      <c r="C163" s="1">
        <v>45026</v>
      </c>
      <c r="D163" s="1">
        <v>45037</v>
      </c>
      <c r="E163" s="1">
        <f>SUM(Table1[[#This Row],[Delivery_Date]]-Table1[[#This Row],[Order_Date]])</f>
        <v>11</v>
      </c>
      <c r="F163" t="s">
        <v>13</v>
      </c>
      <c r="G163" t="s">
        <v>18</v>
      </c>
      <c r="H163">
        <v>552</v>
      </c>
      <c r="I163" s="4">
        <v>60.48</v>
      </c>
      <c r="J163" s="4">
        <v>56.78</v>
      </c>
      <c r="K163" s="4">
        <f>Table1[[#This Row],[Quantity]]*Table1[[#This Row],[Negotiated_Price]]</f>
        <v>31342.560000000001</v>
      </c>
      <c r="L163" s="4">
        <f>Table1[[#This Row],[Quantity]]*Table1[[#This Row],[Unit_Price]]</f>
        <v>33384.959999999999</v>
      </c>
      <c r="M163" s="4">
        <f>Table1[[#This Row],[Unit_Price]]-Table1[[#This Row],[Negotiated_Price]]</f>
        <v>3.6999999999999957</v>
      </c>
      <c r="N163" s="3">
        <f>(Table1[[#This Row],[Unit_Price]]-Table1[[#This Row],[Negotiated_Price]])/Table1[[#This Row],[Unit_Price]]</f>
        <v>6.1177248677248608E-2</v>
      </c>
      <c r="O163">
        <v>10</v>
      </c>
      <c r="P163" t="s">
        <v>15</v>
      </c>
      <c r="Q163">
        <f>IF(Table1[[#This Row],[Compliance]]="Yes", 1, 0)</f>
        <v>1</v>
      </c>
    </row>
    <row r="164" spans="1:17" x14ac:dyDescent="0.35">
      <c r="A164" t="s">
        <v>189</v>
      </c>
      <c r="B164" t="s">
        <v>20</v>
      </c>
      <c r="C164" s="1">
        <v>44565</v>
      </c>
      <c r="D164" s="1">
        <v>44573</v>
      </c>
      <c r="E164" s="1">
        <f>SUM(Table1[[#This Row],[Delivery_Date]]-Table1[[#This Row],[Order_Date]])</f>
        <v>8</v>
      </c>
      <c r="F164" t="s">
        <v>24</v>
      </c>
      <c r="G164" t="s">
        <v>18</v>
      </c>
      <c r="H164">
        <v>456</v>
      </c>
      <c r="I164" s="4">
        <v>80.53</v>
      </c>
      <c r="J164" s="4">
        <v>77.86</v>
      </c>
      <c r="K164" s="4">
        <f>Table1[[#This Row],[Quantity]]*Table1[[#This Row],[Negotiated_Price]]</f>
        <v>35504.159999999996</v>
      </c>
      <c r="L164" s="4">
        <f>Table1[[#This Row],[Quantity]]*Table1[[#This Row],[Unit_Price]]</f>
        <v>36721.68</v>
      </c>
      <c r="M164" s="4">
        <f>Table1[[#This Row],[Unit_Price]]-Table1[[#This Row],[Negotiated_Price]]</f>
        <v>2.6700000000000017</v>
      </c>
      <c r="N164" s="3">
        <f>(Table1[[#This Row],[Unit_Price]]-Table1[[#This Row],[Negotiated_Price]])/Table1[[#This Row],[Unit_Price]]</f>
        <v>3.3155345833850762E-2</v>
      </c>
      <c r="O164">
        <v>26</v>
      </c>
      <c r="P164" t="s">
        <v>15</v>
      </c>
      <c r="Q164">
        <f>IF(Table1[[#This Row],[Compliance]]="Yes", 1, 0)</f>
        <v>1</v>
      </c>
    </row>
    <row r="165" spans="1:17" x14ac:dyDescent="0.35">
      <c r="A165" t="s">
        <v>190</v>
      </c>
      <c r="B165" t="s">
        <v>17</v>
      </c>
      <c r="C165" s="1">
        <v>44831</v>
      </c>
      <c r="D165" s="1">
        <v>44839</v>
      </c>
      <c r="E165" s="1">
        <f>SUM(Table1[[#This Row],[Delivery_Date]]-Table1[[#This Row],[Order_Date]])</f>
        <v>8</v>
      </c>
      <c r="F165" t="s">
        <v>24</v>
      </c>
      <c r="G165" t="s">
        <v>18</v>
      </c>
      <c r="H165">
        <v>1647</v>
      </c>
      <c r="I165" s="4">
        <v>47.52</v>
      </c>
      <c r="J165" s="4">
        <v>44.92</v>
      </c>
      <c r="K165" s="4">
        <f>Table1[[#This Row],[Quantity]]*Table1[[#This Row],[Negotiated_Price]]</f>
        <v>73983.240000000005</v>
      </c>
      <c r="L165" s="4">
        <f>Table1[[#This Row],[Quantity]]*Table1[[#This Row],[Unit_Price]]</f>
        <v>78265.440000000002</v>
      </c>
      <c r="M165" s="4">
        <f>Table1[[#This Row],[Unit_Price]]-Table1[[#This Row],[Negotiated_Price]]</f>
        <v>2.6000000000000014</v>
      </c>
      <c r="N165" s="3">
        <f>(Table1[[#This Row],[Unit_Price]]-Table1[[#This Row],[Negotiated_Price]])/Table1[[#This Row],[Unit_Price]]</f>
        <v>5.4713804713804742E-2</v>
      </c>
      <c r="P165" t="s">
        <v>15</v>
      </c>
      <c r="Q165">
        <f>IF(Table1[[#This Row],[Compliance]]="Yes", 1, 0)</f>
        <v>1</v>
      </c>
    </row>
    <row r="166" spans="1:17" x14ac:dyDescent="0.35">
      <c r="A166" t="s">
        <v>191</v>
      </c>
      <c r="B166" t="s">
        <v>29</v>
      </c>
      <c r="C166" s="1">
        <v>45074</v>
      </c>
      <c r="D166" s="1">
        <v>45088</v>
      </c>
      <c r="E166" s="1">
        <f>SUM(Table1[[#This Row],[Delivery_Date]]-Table1[[#This Row],[Order_Date]])</f>
        <v>14</v>
      </c>
      <c r="F166" t="s">
        <v>39</v>
      </c>
      <c r="G166" t="s">
        <v>35</v>
      </c>
      <c r="H166">
        <v>1801</v>
      </c>
      <c r="I166" s="4">
        <v>71.27</v>
      </c>
      <c r="J166" s="4">
        <v>61.24</v>
      </c>
      <c r="K166" s="4">
        <f>Table1[[#This Row],[Quantity]]*Table1[[#This Row],[Negotiated_Price]]</f>
        <v>110293.24</v>
      </c>
      <c r="L166" s="4">
        <f>Table1[[#This Row],[Quantity]]*Table1[[#This Row],[Unit_Price]]</f>
        <v>128357.26999999999</v>
      </c>
      <c r="M166" s="4">
        <f>Table1[[#This Row],[Unit_Price]]-Table1[[#This Row],[Negotiated_Price]]</f>
        <v>10.029999999999994</v>
      </c>
      <c r="N166" s="3">
        <f>(Table1[[#This Row],[Unit_Price]]-Table1[[#This Row],[Negotiated_Price]])/Table1[[#This Row],[Unit_Price]]</f>
        <v>0.14073242598568816</v>
      </c>
      <c r="O166">
        <v>43</v>
      </c>
      <c r="P166" t="s">
        <v>15</v>
      </c>
      <c r="Q166">
        <f>IF(Table1[[#This Row],[Compliance]]="Yes", 1, 0)</f>
        <v>1</v>
      </c>
    </row>
    <row r="167" spans="1:17" x14ac:dyDescent="0.35">
      <c r="A167" t="s">
        <v>192</v>
      </c>
      <c r="B167" t="s">
        <v>20</v>
      </c>
      <c r="C167" s="1">
        <v>44744</v>
      </c>
      <c r="D167" s="1">
        <v>44760</v>
      </c>
      <c r="E167" s="1">
        <f>SUM(Table1[[#This Row],[Delivery_Date]]-Table1[[#This Row],[Order_Date]])</f>
        <v>16</v>
      </c>
      <c r="F167" t="s">
        <v>39</v>
      </c>
      <c r="G167" t="s">
        <v>18</v>
      </c>
      <c r="H167">
        <v>854</v>
      </c>
      <c r="I167" s="4">
        <v>90.24</v>
      </c>
      <c r="J167" s="4">
        <v>85.53</v>
      </c>
      <c r="K167" s="4">
        <f>Table1[[#This Row],[Quantity]]*Table1[[#This Row],[Negotiated_Price]]</f>
        <v>73042.62</v>
      </c>
      <c r="L167" s="4">
        <f>Table1[[#This Row],[Quantity]]*Table1[[#This Row],[Unit_Price]]</f>
        <v>77064.959999999992</v>
      </c>
      <c r="M167" s="4">
        <f>Table1[[#This Row],[Unit_Price]]-Table1[[#This Row],[Negotiated_Price]]</f>
        <v>4.7099999999999937</v>
      </c>
      <c r="N167" s="3">
        <f>(Table1[[#This Row],[Unit_Price]]-Table1[[#This Row],[Negotiated_Price]])/Table1[[#This Row],[Unit_Price]]</f>
        <v>5.2194148936170144E-2</v>
      </c>
      <c r="P167" t="s">
        <v>15</v>
      </c>
      <c r="Q167">
        <f>IF(Table1[[#This Row],[Compliance]]="Yes", 1, 0)</f>
        <v>1</v>
      </c>
    </row>
    <row r="168" spans="1:17" x14ac:dyDescent="0.35">
      <c r="A168" t="s">
        <v>193</v>
      </c>
      <c r="B168" t="s">
        <v>17</v>
      </c>
      <c r="C168" s="1">
        <v>45081</v>
      </c>
      <c r="D168" s="1">
        <v>45094</v>
      </c>
      <c r="E168" s="1">
        <f>SUM(Table1[[#This Row],[Delivery_Date]]-Table1[[#This Row],[Order_Date]])</f>
        <v>13</v>
      </c>
      <c r="F168" t="s">
        <v>39</v>
      </c>
      <c r="G168" t="s">
        <v>18</v>
      </c>
      <c r="H168">
        <v>148</v>
      </c>
      <c r="I168" s="4">
        <v>103.57</v>
      </c>
      <c r="J168" s="4">
        <v>98.62</v>
      </c>
      <c r="K168" s="4">
        <f>Table1[[#This Row],[Quantity]]*Table1[[#This Row],[Negotiated_Price]]</f>
        <v>14595.76</v>
      </c>
      <c r="L168" s="4">
        <f>Table1[[#This Row],[Quantity]]*Table1[[#This Row],[Unit_Price]]</f>
        <v>15328.359999999999</v>
      </c>
      <c r="M168" s="4">
        <f>Table1[[#This Row],[Unit_Price]]-Table1[[#This Row],[Negotiated_Price]]</f>
        <v>4.9499999999999886</v>
      </c>
      <c r="N168" s="3">
        <f>(Table1[[#This Row],[Unit_Price]]-Table1[[#This Row],[Negotiated_Price]])/Table1[[#This Row],[Unit_Price]]</f>
        <v>4.7793762672588481E-2</v>
      </c>
      <c r="O168">
        <v>23</v>
      </c>
      <c r="P168" t="s">
        <v>27</v>
      </c>
      <c r="Q168">
        <f>IF(Table1[[#This Row],[Compliance]]="Yes", 1, 0)</f>
        <v>0</v>
      </c>
    </row>
    <row r="169" spans="1:17" x14ac:dyDescent="0.35">
      <c r="A169" t="s">
        <v>194</v>
      </c>
      <c r="B169" t="s">
        <v>17</v>
      </c>
      <c r="C169" s="1">
        <v>44670</v>
      </c>
      <c r="D169" s="1">
        <v>44675</v>
      </c>
      <c r="E169" s="1">
        <f>SUM(Table1[[#This Row],[Delivery_Date]]-Table1[[#This Row],[Order_Date]])</f>
        <v>5</v>
      </c>
      <c r="F169" t="s">
        <v>21</v>
      </c>
      <c r="G169" t="s">
        <v>18</v>
      </c>
      <c r="H169">
        <v>733</v>
      </c>
      <c r="I169" s="4">
        <v>23.59</v>
      </c>
      <c r="J169" s="4">
        <v>22.85</v>
      </c>
      <c r="K169" s="4">
        <f>Table1[[#This Row],[Quantity]]*Table1[[#This Row],[Negotiated_Price]]</f>
        <v>16749.05</v>
      </c>
      <c r="L169" s="4">
        <f>Table1[[#This Row],[Quantity]]*Table1[[#This Row],[Unit_Price]]</f>
        <v>17291.47</v>
      </c>
      <c r="M169" s="4">
        <f>Table1[[#This Row],[Unit_Price]]-Table1[[#This Row],[Negotiated_Price]]</f>
        <v>0.73999999999999844</v>
      </c>
      <c r="N169" s="3">
        <f>(Table1[[#This Row],[Unit_Price]]-Table1[[#This Row],[Negotiated_Price]])/Table1[[#This Row],[Unit_Price]]</f>
        <v>3.1369224247562458E-2</v>
      </c>
      <c r="O169">
        <v>92</v>
      </c>
      <c r="P169" t="s">
        <v>15</v>
      </c>
      <c r="Q169">
        <f>IF(Table1[[#This Row],[Compliance]]="Yes", 1, 0)</f>
        <v>1</v>
      </c>
    </row>
    <row r="170" spans="1:17" x14ac:dyDescent="0.35">
      <c r="A170" t="s">
        <v>195</v>
      </c>
      <c r="B170" t="s">
        <v>23</v>
      </c>
      <c r="C170" s="1">
        <v>45202</v>
      </c>
      <c r="D170" s="1">
        <v>45204</v>
      </c>
      <c r="E170" s="1">
        <f>SUM(Table1[[#This Row],[Delivery_Date]]-Table1[[#This Row],[Order_Date]])</f>
        <v>2</v>
      </c>
      <c r="F170" t="s">
        <v>26</v>
      </c>
      <c r="G170" t="s">
        <v>18</v>
      </c>
      <c r="H170">
        <v>1945</v>
      </c>
      <c r="I170" s="4">
        <v>103.2</v>
      </c>
      <c r="J170" s="4">
        <v>88.56</v>
      </c>
      <c r="K170" s="4">
        <f>Table1[[#This Row],[Quantity]]*Table1[[#This Row],[Negotiated_Price]]</f>
        <v>172249.2</v>
      </c>
      <c r="L170" s="4">
        <f>Table1[[#This Row],[Quantity]]*Table1[[#This Row],[Unit_Price]]</f>
        <v>200724</v>
      </c>
      <c r="M170" s="4">
        <f>Table1[[#This Row],[Unit_Price]]-Table1[[#This Row],[Negotiated_Price]]</f>
        <v>14.64</v>
      </c>
      <c r="N170" s="3">
        <f>(Table1[[#This Row],[Unit_Price]]-Table1[[#This Row],[Negotiated_Price]])/Table1[[#This Row],[Unit_Price]]</f>
        <v>0.14186046511627906</v>
      </c>
      <c r="P170" t="s">
        <v>15</v>
      </c>
      <c r="Q170">
        <f>IF(Table1[[#This Row],[Compliance]]="Yes", 1, 0)</f>
        <v>1</v>
      </c>
    </row>
    <row r="171" spans="1:17" x14ac:dyDescent="0.35">
      <c r="A171" t="s">
        <v>196</v>
      </c>
      <c r="B171" t="s">
        <v>20</v>
      </c>
      <c r="C171" s="1">
        <v>44867</v>
      </c>
      <c r="D171" s="1">
        <v>44886</v>
      </c>
      <c r="E171" s="1">
        <f>SUM(Table1[[#This Row],[Delivery_Date]]-Table1[[#This Row],[Order_Date]])</f>
        <v>19</v>
      </c>
      <c r="F171" t="s">
        <v>26</v>
      </c>
      <c r="G171" t="s">
        <v>18</v>
      </c>
      <c r="H171">
        <v>775</v>
      </c>
      <c r="I171" s="4">
        <v>57</v>
      </c>
      <c r="J171" s="4">
        <v>49.14</v>
      </c>
      <c r="K171" s="4">
        <f>Table1[[#This Row],[Quantity]]*Table1[[#This Row],[Negotiated_Price]]</f>
        <v>38083.5</v>
      </c>
      <c r="L171" s="4">
        <f>Table1[[#This Row],[Quantity]]*Table1[[#This Row],[Unit_Price]]</f>
        <v>44175</v>
      </c>
      <c r="M171" s="4">
        <f>Table1[[#This Row],[Unit_Price]]-Table1[[#This Row],[Negotiated_Price]]</f>
        <v>7.8599999999999994</v>
      </c>
      <c r="N171" s="3">
        <f>(Table1[[#This Row],[Unit_Price]]-Table1[[#This Row],[Negotiated_Price]])/Table1[[#This Row],[Unit_Price]]</f>
        <v>0.13789473684210526</v>
      </c>
      <c r="O171">
        <v>48</v>
      </c>
      <c r="P171" t="s">
        <v>15</v>
      </c>
      <c r="Q171">
        <f>IF(Table1[[#This Row],[Compliance]]="Yes", 1, 0)</f>
        <v>1</v>
      </c>
    </row>
    <row r="172" spans="1:17" x14ac:dyDescent="0.35">
      <c r="A172" t="s">
        <v>197</v>
      </c>
      <c r="B172" t="s">
        <v>17</v>
      </c>
      <c r="C172" s="1">
        <v>45216</v>
      </c>
      <c r="D172" s="1">
        <v>45220</v>
      </c>
      <c r="E172" s="1">
        <f>SUM(Table1[[#This Row],[Delivery_Date]]-Table1[[#This Row],[Order_Date]])</f>
        <v>4</v>
      </c>
      <c r="F172" t="s">
        <v>24</v>
      </c>
      <c r="G172" t="s">
        <v>18</v>
      </c>
      <c r="H172">
        <v>1620</v>
      </c>
      <c r="I172" s="4">
        <v>36.729999999999997</v>
      </c>
      <c r="J172" s="4">
        <v>33.450000000000003</v>
      </c>
      <c r="K172" s="4">
        <f>Table1[[#This Row],[Quantity]]*Table1[[#This Row],[Negotiated_Price]]</f>
        <v>54189.000000000007</v>
      </c>
      <c r="L172" s="4">
        <f>Table1[[#This Row],[Quantity]]*Table1[[#This Row],[Unit_Price]]</f>
        <v>59502.6</v>
      </c>
      <c r="M172" s="4">
        <f>Table1[[#This Row],[Unit_Price]]-Table1[[#This Row],[Negotiated_Price]]</f>
        <v>3.279999999999994</v>
      </c>
      <c r="N172" s="3">
        <f>(Table1[[#This Row],[Unit_Price]]-Table1[[#This Row],[Negotiated_Price]])/Table1[[#This Row],[Unit_Price]]</f>
        <v>8.9300299482711523E-2</v>
      </c>
      <c r="O172">
        <v>235</v>
      </c>
      <c r="P172" t="s">
        <v>27</v>
      </c>
      <c r="Q172">
        <f>IF(Table1[[#This Row],[Compliance]]="Yes", 1, 0)</f>
        <v>0</v>
      </c>
    </row>
    <row r="173" spans="1:17" x14ac:dyDescent="0.35">
      <c r="A173" t="s">
        <v>198</v>
      </c>
      <c r="B173" t="s">
        <v>23</v>
      </c>
      <c r="C173" s="1">
        <v>45081</v>
      </c>
      <c r="D173" s="1">
        <v>45096</v>
      </c>
      <c r="E173" s="1">
        <f>SUM(Table1[[#This Row],[Delivery_Date]]-Table1[[#This Row],[Order_Date]])</f>
        <v>15</v>
      </c>
      <c r="F173" t="s">
        <v>13</v>
      </c>
      <c r="G173" t="s">
        <v>18</v>
      </c>
      <c r="H173">
        <v>1010</v>
      </c>
      <c r="I173" s="4">
        <v>55.68</v>
      </c>
      <c r="J173" s="4">
        <v>50.86</v>
      </c>
      <c r="K173" s="4">
        <f>Table1[[#This Row],[Quantity]]*Table1[[#This Row],[Negotiated_Price]]</f>
        <v>51368.6</v>
      </c>
      <c r="L173" s="4">
        <f>Table1[[#This Row],[Quantity]]*Table1[[#This Row],[Unit_Price]]</f>
        <v>56236.800000000003</v>
      </c>
      <c r="M173" s="4">
        <f>Table1[[#This Row],[Unit_Price]]-Table1[[#This Row],[Negotiated_Price]]</f>
        <v>4.82</v>
      </c>
      <c r="N173" s="3">
        <f>(Table1[[#This Row],[Unit_Price]]-Table1[[#This Row],[Negotiated_Price]])/Table1[[#This Row],[Unit_Price]]</f>
        <v>8.6566091954022997E-2</v>
      </c>
      <c r="P173" t="s">
        <v>15</v>
      </c>
      <c r="Q173">
        <f>IF(Table1[[#This Row],[Compliance]]="Yes", 1, 0)</f>
        <v>1</v>
      </c>
    </row>
    <row r="174" spans="1:17" x14ac:dyDescent="0.35">
      <c r="A174" t="s">
        <v>199</v>
      </c>
      <c r="B174" t="s">
        <v>29</v>
      </c>
      <c r="C174" s="1">
        <v>45185</v>
      </c>
      <c r="D174" s="1">
        <v>45200</v>
      </c>
      <c r="E174" s="1">
        <f>SUM(Table1[[#This Row],[Delivery_Date]]-Table1[[#This Row],[Order_Date]])</f>
        <v>15</v>
      </c>
      <c r="F174" t="s">
        <v>13</v>
      </c>
      <c r="G174" t="s">
        <v>18</v>
      </c>
      <c r="H174">
        <v>1812</v>
      </c>
      <c r="I174" s="4">
        <v>108.02</v>
      </c>
      <c r="J174" s="4">
        <v>101.02</v>
      </c>
      <c r="K174" s="4">
        <f>Table1[[#This Row],[Quantity]]*Table1[[#This Row],[Negotiated_Price]]</f>
        <v>183048.24</v>
      </c>
      <c r="L174" s="4">
        <f>Table1[[#This Row],[Quantity]]*Table1[[#This Row],[Unit_Price]]</f>
        <v>195732.24</v>
      </c>
      <c r="M174" s="4">
        <f>Table1[[#This Row],[Unit_Price]]-Table1[[#This Row],[Negotiated_Price]]</f>
        <v>7</v>
      </c>
      <c r="N174" s="3">
        <f>(Table1[[#This Row],[Unit_Price]]-Table1[[#This Row],[Negotiated_Price]])/Table1[[#This Row],[Unit_Price]]</f>
        <v>6.4802814293649327E-2</v>
      </c>
      <c r="O174">
        <v>51</v>
      </c>
      <c r="P174" t="s">
        <v>15</v>
      </c>
      <c r="Q174">
        <f>IF(Table1[[#This Row],[Compliance]]="Yes", 1, 0)</f>
        <v>1</v>
      </c>
    </row>
    <row r="175" spans="1:17" x14ac:dyDescent="0.35">
      <c r="A175" t="s">
        <v>200</v>
      </c>
      <c r="B175" t="s">
        <v>17</v>
      </c>
      <c r="C175" s="1">
        <v>44765</v>
      </c>
      <c r="D175" s="1">
        <v>44770</v>
      </c>
      <c r="E175" s="1">
        <f>SUM(Table1[[#This Row],[Delivery_Date]]-Table1[[#This Row],[Order_Date]])</f>
        <v>5</v>
      </c>
      <c r="F175" t="s">
        <v>13</v>
      </c>
      <c r="G175" t="s">
        <v>18</v>
      </c>
      <c r="H175">
        <v>662</v>
      </c>
      <c r="I175" s="4">
        <v>55.97</v>
      </c>
      <c r="J175" s="4">
        <v>50</v>
      </c>
      <c r="K175" s="4">
        <f>Table1[[#This Row],[Quantity]]*Table1[[#This Row],[Negotiated_Price]]</f>
        <v>33100</v>
      </c>
      <c r="L175" s="4">
        <f>Table1[[#This Row],[Quantity]]*Table1[[#This Row],[Unit_Price]]</f>
        <v>37052.14</v>
      </c>
      <c r="M175" s="4">
        <f>Table1[[#This Row],[Unit_Price]]-Table1[[#This Row],[Negotiated_Price]]</f>
        <v>5.9699999999999989</v>
      </c>
      <c r="N175" s="3">
        <f>(Table1[[#This Row],[Unit_Price]]-Table1[[#This Row],[Negotiated_Price]])/Table1[[#This Row],[Unit_Price]]</f>
        <v>0.10666428443809181</v>
      </c>
      <c r="O175">
        <v>100</v>
      </c>
      <c r="P175" t="s">
        <v>15</v>
      </c>
      <c r="Q175">
        <f>IF(Table1[[#This Row],[Compliance]]="Yes", 1, 0)</f>
        <v>1</v>
      </c>
    </row>
    <row r="176" spans="1:17" x14ac:dyDescent="0.35">
      <c r="A176" t="s">
        <v>201</v>
      </c>
      <c r="B176" t="s">
        <v>23</v>
      </c>
      <c r="C176" s="1">
        <v>44718</v>
      </c>
      <c r="D176" s="1">
        <v>44723</v>
      </c>
      <c r="E176" s="1">
        <f>SUM(Table1[[#This Row],[Delivery_Date]]-Table1[[#This Row],[Order_Date]])</f>
        <v>5</v>
      </c>
      <c r="F176" t="s">
        <v>13</v>
      </c>
      <c r="G176" t="s">
        <v>35</v>
      </c>
      <c r="H176">
        <v>1535</v>
      </c>
      <c r="I176" s="4">
        <v>40.58</v>
      </c>
      <c r="J176" s="4">
        <v>38.71</v>
      </c>
      <c r="K176" s="4">
        <f>Table1[[#This Row],[Quantity]]*Table1[[#This Row],[Negotiated_Price]]</f>
        <v>59419.85</v>
      </c>
      <c r="L176" s="4">
        <f>Table1[[#This Row],[Quantity]]*Table1[[#This Row],[Unit_Price]]</f>
        <v>62290.299999999996</v>
      </c>
      <c r="M176" s="4">
        <f>Table1[[#This Row],[Unit_Price]]-Table1[[#This Row],[Negotiated_Price]]</f>
        <v>1.8699999999999974</v>
      </c>
      <c r="N176" s="3">
        <f>(Table1[[#This Row],[Unit_Price]]-Table1[[#This Row],[Negotiated_Price]])/Table1[[#This Row],[Unit_Price]]</f>
        <v>4.6081813701330646E-2</v>
      </c>
      <c r="O176">
        <v>165</v>
      </c>
      <c r="P176" t="s">
        <v>15</v>
      </c>
      <c r="Q176">
        <f>IF(Table1[[#This Row],[Compliance]]="Yes", 1, 0)</f>
        <v>1</v>
      </c>
    </row>
    <row r="177" spans="1:17" x14ac:dyDescent="0.35">
      <c r="A177" t="s">
        <v>202</v>
      </c>
      <c r="B177" t="s">
        <v>23</v>
      </c>
      <c r="C177" s="1">
        <v>44944</v>
      </c>
      <c r="D177" s="1">
        <v>44953</v>
      </c>
      <c r="E177" s="1">
        <f>SUM(Table1[[#This Row],[Delivery_Date]]-Table1[[#This Row],[Order_Date]])</f>
        <v>9</v>
      </c>
      <c r="F177" t="s">
        <v>26</v>
      </c>
      <c r="G177" t="s">
        <v>18</v>
      </c>
      <c r="H177">
        <v>692</v>
      </c>
      <c r="I177" s="4">
        <v>71.03</v>
      </c>
      <c r="J177" s="4">
        <v>67.739999999999995</v>
      </c>
      <c r="K177" s="4">
        <f>Table1[[#This Row],[Quantity]]*Table1[[#This Row],[Negotiated_Price]]</f>
        <v>46876.079999999994</v>
      </c>
      <c r="L177" s="4">
        <f>Table1[[#This Row],[Quantity]]*Table1[[#This Row],[Unit_Price]]</f>
        <v>49152.76</v>
      </c>
      <c r="M177" s="4">
        <f>Table1[[#This Row],[Unit_Price]]-Table1[[#This Row],[Negotiated_Price]]</f>
        <v>3.2900000000000063</v>
      </c>
      <c r="N177" s="3">
        <f>(Table1[[#This Row],[Unit_Price]]-Table1[[#This Row],[Negotiated_Price]])/Table1[[#This Row],[Unit_Price]]</f>
        <v>4.6318456990004309E-2</v>
      </c>
      <c r="O177">
        <v>70</v>
      </c>
      <c r="P177" t="s">
        <v>15</v>
      </c>
      <c r="Q177">
        <f>IF(Table1[[#This Row],[Compliance]]="Yes", 1, 0)</f>
        <v>1</v>
      </c>
    </row>
    <row r="178" spans="1:17" x14ac:dyDescent="0.35">
      <c r="A178" t="s">
        <v>203</v>
      </c>
      <c r="B178" t="s">
        <v>20</v>
      </c>
      <c r="C178" s="1">
        <v>44727</v>
      </c>
      <c r="D178" s="1">
        <v>44740</v>
      </c>
      <c r="E178" s="1">
        <f>SUM(Table1[[#This Row],[Delivery_Date]]-Table1[[#This Row],[Order_Date]])</f>
        <v>13</v>
      </c>
      <c r="F178" t="s">
        <v>21</v>
      </c>
      <c r="G178" t="s">
        <v>18</v>
      </c>
      <c r="H178">
        <v>1842</v>
      </c>
      <c r="I178" s="4">
        <v>32.4</v>
      </c>
      <c r="J178" s="4">
        <v>28.08</v>
      </c>
      <c r="K178" s="4">
        <f>Table1[[#This Row],[Quantity]]*Table1[[#This Row],[Negotiated_Price]]</f>
        <v>51723.359999999993</v>
      </c>
      <c r="L178" s="4">
        <f>Table1[[#This Row],[Quantity]]*Table1[[#This Row],[Unit_Price]]</f>
        <v>59680.799999999996</v>
      </c>
      <c r="M178" s="4">
        <f>Table1[[#This Row],[Unit_Price]]-Table1[[#This Row],[Negotiated_Price]]</f>
        <v>4.32</v>
      </c>
      <c r="N178" s="3">
        <f>(Table1[[#This Row],[Unit_Price]]-Table1[[#This Row],[Negotiated_Price]])/Table1[[#This Row],[Unit_Price]]</f>
        <v>0.13333333333333336</v>
      </c>
      <c r="O178">
        <v>96</v>
      </c>
      <c r="P178" t="s">
        <v>15</v>
      </c>
      <c r="Q178">
        <f>IF(Table1[[#This Row],[Compliance]]="Yes", 1, 0)</f>
        <v>1</v>
      </c>
    </row>
    <row r="179" spans="1:17" x14ac:dyDescent="0.35">
      <c r="A179" t="s">
        <v>204</v>
      </c>
      <c r="B179" t="s">
        <v>23</v>
      </c>
      <c r="C179" s="1">
        <v>45114</v>
      </c>
      <c r="D179" s="1">
        <v>45125</v>
      </c>
      <c r="E179" s="1">
        <f>SUM(Table1[[#This Row],[Delivery_Date]]-Table1[[#This Row],[Order_Date]])</f>
        <v>11</v>
      </c>
      <c r="F179" t="s">
        <v>13</v>
      </c>
      <c r="G179" t="s">
        <v>14</v>
      </c>
      <c r="H179">
        <v>1078</v>
      </c>
      <c r="I179" s="4">
        <v>18.34</v>
      </c>
      <c r="J179" s="4">
        <v>17.41</v>
      </c>
      <c r="K179" s="4">
        <f>Table1[[#This Row],[Quantity]]*Table1[[#This Row],[Negotiated_Price]]</f>
        <v>18767.98</v>
      </c>
      <c r="L179" s="4">
        <f>Table1[[#This Row],[Quantity]]*Table1[[#This Row],[Unit_Price]]</f>
        <v>19770.52</v>
      </c>
      <c r="M179" s="4">
        <f>Table1[[#This Row],[Unit_Price]]-Table1[[#This Row],[Negotiated_Price]]</f>
        <v>0.92999999999999972</v>
      </c>
      <c r="N179" s="3">
        <f>(Table1[[#This Row],[Unit_Price]]-Table1[[#This Row],[Negotiated_Price]])/Table1[[#This Row],[Unit_Price]]</f>
        <v>5.0708833151581229E-2</v>
      </c>
      <c r="O179">
        <v>102</v>
      </c>
      <c r="P179" t="s">
        <v>15</v>
      </c>
      <c r="Q179">
        <f>IF(Table1[[#This Row],[Compliance]]="Yes", 1, 0)</f>
        <v>1</v>
      </c>
    </row>
    <row r="180" spans="1:17" x14ac:dyDescent="0.35">
      <c r="A180" t="s">
        <v>205</v>
      </c>
      <c r="B180" t="s">
        <v>17</v>
      </c>
      <c r="C180" s="1">
        <v>45105</v>
      </c>
      <c r="D180" s="1">
        <v>45123</v>
      </c>
      <c r="E180" s="1">
        <f>SUM(Table1[[#This Row],[Delivery_Date]]-Table1[[#This Row],[Order_Date]])</f>
        <v>18</v>
      </c>
      <c r="F180" t="s">
        <v>24</v>
      </c>
      <c r="G180" t="s">
        <v>18</v>
      </c>
      <c r="H180">
        <v>1291</v>
      </c>
      <c r="I180" s="4">
        <v>23.44</v>
      </c>
      <c r="J180" s="4">
        <v>22.23</v>
      </c>
      <c r="K180" s="4">
        <f>Table1[[#This Row],[Quantity]]*Table1[[#This Row],[Negotiated_Price]]</f>
        <v>28698.93</v>
      </c>
      <c r="L180" s="4">
        <f>Table1[[#This Row],[Quantity]]*Table1[[#This Row],[Unit_Price]]</f>
        <v>30261.040000000001</v>
      </c>
      <c r="M180" s="4">
        <f>Table1[[#This Row],[Unit_Price]]-Table1[[#This Row],[Negotiated_Price]]</f>
        <v>1.2100000000000009</v>
      </c>
      <c r="N180" s="3">
        <f>(Table1[[#This Row],[Unit_Price]]-Table1[[#This Row],[Negotiated_Price]])/Table1[[#This Row],[Unit_Price]]</f>
        <v>5.1621160409556346E-2</v>
      </c>
      <c r="P180" t="s">
        <v>15</v>
      </c>
      <c r="Q180">
        <f>IF(Table1[[#This Row],[Compliance]]="Yes", 1, 0)</f>
        <v>1</v>
      </c>
    </row>
    <row r="181" spans="1:17" x14ac:dyDescent="0.35">
      <c r="A181" t="s">
        <v>206</v>
      </c>
      <c r="B181" t="s">
        <v>12</v>
      </c>
      <c r="C181" s="1">
        <v>44562</v>
      </c>
      <c r="D181" s="1">
        <v>44573</v>
      </c>
      <c r="E181" s="1">
        <f>SUM(Table1[[#This Row],[Delivery_Date]]-Table1[[#This Row],[Order_Date]])</f>
        <v>11</v>
      </c>
      <c r="F181" t="s">
        <v>39</v>
      </c>
      <c r="G181" t="s">
        <v>18</v>
      </c>
      <c r="H181">
        <v>552</v>
      </c>
      <c r="I181" s="4">
        <v>21.52</v>
      </c>
      <c r="J181" s="4">
        <v>18.79</v>
      </c>
      <c r="K181" s="4">
        <f>Table1[[#This Row],[Quantity]]*Table1[[#This Row],[Negotiated_Price]]</f>
        <v>10372.08</v>
      </c>
      <c r="L181" s="4">
        <f>Table1[[#This Row],[Quantity]]*Table1[[#This Row],[Unit_Price]]</f>
        <v>11879.039999999999</v>
      </c>
      <c r="M181" s="4">
        <f>Table1[[#This Row],[Unit_Price]]-Table1[[#This Row],[Negotiated_Price]]</f>
        <v>2.7300000000000004</v>
      </c>
      <c r="N181" s="3">
        <f>(Table1[[#This Row],[Unit_Price]]-Table1[[#This Row],[Negotiated_Price]])/Table1[[#This Row],[Unit_Price]]</f>
        <v>0.12685873605947959</v>
      </c>
      <c r="O181">
        <v>13</v>
      </c>
      <c r="P181" t="s">
        <v>15</v>
      </c>
      <c r="Q181">
        <f>IF(Table1[[#This Row],[Compliance]]="Yes", 1, 0)</f>
        <v>1</v>
      </c>
    </row>
    <row r="182" spans="1:17" x14ac:dyDescent="0.35">
      <c r="A182" t="s">
        <v>207</v>
      </c>
      <c r="B182" t="s">
        <v>29</v>
      </c>
      <c r="C182" s="1">
        <v>45175</v>
      </c>
      <c r="D182" s="1">
        <v>45191</v>
      </c>
      <c r="E182" s="1">
        <f>SUM(Table1[[#This Row],[Delivery_Date]]-Table1[[#This Row],[Order_Date]])</f>
        <v>16</v>
      </c>
      <c r="F182" t="s">
        <v>39</v>
      </c>
      <c r="G182" t="s">
        <v>18</v>
      </c>
      <c r="H182">
        <v>816</v>
      </c>
      <c r="I182" s="4">
        <v>26.04</v>
      </c>
      <c r="J182" s="4">
        <v>25.61</v>
      </c>
      <c r="K182" s="4">
        <f>Table1[[#This Row],[Quantity]]*Table1[[#This Row],[Negotiated_Price]]</f>
        <v>20897.759999999998</v>
      </c>
      <c r="L182" s="4">
        <f>Table1[[#This Row],[Quantity]]*Table1[[#This Row],[Unit_Price]]</f>
        <v>21248.639999999999</v>
      </c>
      <c r="M182" s="4">
        <f>Table1[[#This Row],[Unit_Price]]-Table1[[#This Row],[Negotiated_Price]]</f>
        <v>0.42999999999999972</v>
      </c>
      <c r="N182" s="3">
        <f>(Table1[[#This Row],[Unit_Price]]-Table1[[#This Row],[Negotiated_Price]])/Table1[[#This Row],[Unit_Price]]</f>
        <v>1.6513056835637471E-2</v>
      </c>
      <c r="O182">
        <v>28</v>
      </c>
      <c r="P182" t="s">
        <v>15</v>
      </c>
      <c r="Q182">
        <f>IF(Table1[[#This Row],[Compliance]]="Yes", 1, 0)</f>
        <v>1</v>
      </c>
    </row>
    <row r="183" spans="1:17" x14ac:dyDescent="0.35">
      <c r="A183" t="s">
        <v>208</v>
      </c>
      <c r="B183" t="s">
        <v>17</v>
      </c>
      <c r="C183" s="1">
        <v>44893</v>
      </c>
      <c r="D183" s="1">
        <v>44895</v>
      </c>
      <c r="E183" s="1">
        <f>SUM(Table1[[#This Row],[Delivery_Date]]-Table1[[#This Row],[Order_Date]])</f>
        <v>2</v>
      </c>
      <c r="F183" t="s">
        <v>24</v>
      </c>
      <c r="G183" t="s">
        <v>18</v>
      </c>
      <c r="H183">
        <v>447</v>
      </c>
      <c r="I183" s="4">
        <v>23.62</v>
      </c>
      <c r="J183" s="4">
        <v>21.81</v>
      </c>
      <c r="K183" s="4">
        <f>Table1[[#This Row],[Quantity]]*Table1[[#This Row],[Negotiated_Price]]</f>
        <v>9749.07</v>
      </c>
      <c r="L183" s="4">
        <f>Table1[[#This Row],[Quantity]]*Table1[[#This Row],[Unit_Price]]</f>
        <v>10558.140000000001</v>
      </c>
      <c r="M183" s="4">
        <f>Table1[[#This Row],[Unit_Price]]-Table1[[#This Row],[Negotiated_Price]]</f>
        <v>1.8100000000000023</v>
      </c>
      <c r="N183" s="3">
        <f>(Table1[[#This Row],[Unit_Price]]-Table1[[#This Row],[Negotiated_Price]])/Table1[[#This Row],[Unit_Price]]</f>
        <v>7.6629974597798564E-2</v>
      </c>
      <c r="O183">
        <v>50</v>
      </c>
      <c r="P183" t="s">
        <v>15</v>
      </c>
      <c r="Q183">
        <f>IF(Table1[[#This Row],[Compliance]]="Yes", 1, 0)</f>
        <v>1</v>
      </c>
    </row>
    <row r="184" spans="1:17" x14ac:dyDescent="0.35">
      <c r="A184" t="s">
        <v>209</v>
      </c>
      <c r="B184" t="s">
        <v>17</v>
      </c>
      <c r="C184" s="1">
        <v>45062</v>
      </c>
      <c r="D184" s="1">
        <v>45070</v>
      </c>
      <c r="E184" s="1">
        <f>SUM(Table1[[#This Row],[Delivery_Date]]-Table1[[#This Row],[Order_Date]])</f>
        <v>8</v>
      </c>
      <c r="F184" t="s">
        <v>24</v>
      </c>
      <c r="G184" t="s">
        <v>33</v>
      </c>
      <c r="H184">
        <v>920</v>
      </c>
      <c r="I184" s="4">
        <v>73.09</v>
      </c>
      <c r="J184" s="4">
        <v>70.14</v>
      </c>
      <c r="K184" s="4">
        <f>Table1[[#This Row],[Quantity]]*Table1[[#This Row],[Negotiated_Price]]</f>
        <v>64528.800000000003</v>
      </c>
      <c r="L184" s="4">
        <f>Table1[[#This Row],[Quantity]]*Table1[[#This Row],[Unit_Price]]</f>
        <v>67242.8</v>
      </c>
      <c r="M184" s="4">
        <f>Table1[[#This Row],[Unit_Price]]-Table1[[#This Row],[Negotiated_Price]]</f>
        <v>2.9500000000000028</v>
      </c>
      <c r="N184" s="3">
        <f>(Table1[[#This Row],[Unit_Price]]-Table1[[#This Row],[Negotiated_Price]])/Table1[[#This Row],[Unit_Price]]</f>
        <v>4.0361198522369718E-2</v>
      </c>
      <c r="P184" t="s">
        <v>15</v>
      </c>
      <c r="Q184">
        <f>IF(Table1[[#This Row],[Compliance]]="Yes", 1, 0)</f>
        <v>1</v>
      </c>
    </row>
    <row r="185" spans="1:17" x14ac:dyDescent="0.35">
      <c r="A185" t="s">
        <v>210</v>
      </c>
      <c r="B185" t="s">
        <v>29</v>
      </c>
      <c r="C185" s="1">
        <v>44581</v>
      </c>
      <c r="D185" s="1">
        <v>44591</v>
      </c>
      <c r="E185" s="1">
        <f>SUM(Table1[[#This Row],[Delivery_Date]]-Table1[[#This Row],[Order_Date]])</f>
        <v>10</v>
      </c>
      <c r="F185" t="s">
        <v>24</v>
      </c>
      <c r="G185" t="s">
        <v>33</v>
      </c>
      <c r="H185">
        <v>844</v>
      </c>
      <c r="I185" s="4">
        <v>26.37</v>
      </c>
      <c r="J185" s="4">
        <v>25.08</v>
      </c>
      <c r="K185" s="4">
        <f>Table1[[#This Row],[Quantity]]*Table1[[#This Row],[Negotiated_Price]]</f>
        <v>21167.519999999997</v>
      </c>
      <c r="L185" s="4">
        <f>Table1[[#This Row],[Quantity]]*Table1[[#This Row],[Unit_Price]]</f>
        <v>22256.280000000002</v>
      </c>
      <c r="M185" s="4">
        <f>Table1[[#This Row],[Unit_Price]]-Table1[[#This Row],[Negotiated_Price]]</f>
        <v>1.2900000000000027</v>
      </c>
      <c r="N185" s="3">
        <f>(Table1[[#This Row],[Unit_Price]]-Table1[[#This Row],[Negotiated_Price]])/Table1[[#This Row],[Unit_Price]]</f>
        <v>4.8919226393629223E-2</v>
      </c>
      <c r="O185">
        <v>38</v>
      </c>
      <c r="P185" t="s">
        <v>15</v>
      </c>
      <c r="Q185">
        <f>IF(Table1[[#This Row],[Compliance]]="Yes", 1, 0)</f>
        <v>1</v>
      </c>
    </row>
    <row r="186" spans="1:17" hidden="1" x14ac:dyDescent="0.35">
      <c r="A186" t="s">
        <v>211</v>
      </c>
      <c r="B186" t="s">
        <v>29</v>
      </c>
      <c r="C186" s="1">
        <v>44676</v>
      </c>
      <c r="E186" s="1">
        <f>SUM(Table1[[#This Row],[Delivery_Date]]-Table1[[#This Row],[Order_Date]])</f>
        <v>-44676</v>
      </c>
      <c r="F186" t="s">
        <v>21</v>
      </c>
      <c r="G186" t="s">
        <v>18</v>
      </c>
      <c r="H186">
        <v>442</v>
      </c>
      <c r="I186">
        <v>41.73</v>
      </c>
      <c r="J186">
        <v>36.450000000000003</v>
      </c>
      <c r="K186">
        <f>Table1[[#This Row],[Quantity]]*Table1[[#This Row],[Negotiated_Price]]</f>
        <v>16110.900000000001</v>
      </c>
      <c r="L186" s="5">
        <f>Table1[[#This Row],[Quantity]]*Table1[[#This Row],[Unit_Price]]</f>
        <v>18444.66</v>
      </c>
      <c r="M186">
        <f>Table1[[#This Row],[Unit_Price]]-Table1[[#This Row],[Negotiated_Price]]</f>
        <v>5.279999999999994</v>
      </c>
      <c r="N186" s="2">
        <f>(Table1[[#This Row],[Unit_Price]]-Table1[[#This Row],[Negotiated_Price]])/Table1[[#This Row],[Unit_Price]]</f>
        <v>0.12652767792954694</v>
      </c>
      <c r="O186">
        <v>15</v>
      </c>
      <c r="P186" t="s">
        <v>15</v>
      </c>
      <c r="Q186">
        <f>IF(Table1[[#This Row],[Compliance]]="Yes", 1, 0)</f>
        <v>1</v>
      </c>
    </row>
    <row r="187" spans="1:17" x14ac:dyDescent="0.35">
      <c r="A187" t="s">
        <v>212</v>
      </c>
      <c r="B187" t="s">
        <v>23</v>
      </c>
      <c r="C187" s="1">
        <v>44933</v>
      </c>
      <c r="D187" s="1">
        <v>44947</v>
      </c>
      <c r="E187" s="1">
        <f>SUM(Table1[[#This Row],[Delivery_Date]]-Table1[[#This Row],[Order_Date]])</f>
        <v>14</v>
      </c>
      <c r="F187" t="s">
        <v>39</v>
      </c>
      <c r="G187" t="s">
        <v>14</v>
      </c>
      <c r="H187">
        <v>256</v>
      </c>
      <c r="I187" s="4">
        <v>96.15</v>
      </c>
      <c r="J187" s="4">
        <v>83.44</v>
      </c>
      <c r="K187" s="4">
        <f>Table1[[#This Row],[Quantity]]*Table1[[#This Row],[Negotiated_Price]]</f>
        <v>21360.639999999999</v>
      </c>
      <c r="L187" s="4">
        <f>Table1[[#This Row],[Quantity]]*Table1[[#This Row],[Unit_Price]]</f>
        <v>24614.400000000001</v>
      </c>
      <c r="M187" s="4">
        <f>Table1[[#This Row],[Unit_Price]]-Table1[[#This Row],[Negotiated_Price]]</f>
        <v>12.710000000000008</v>
      </c>
      <c r="N187" s="3">
        <f>(Table1[[#This Row],[Unit_Price]]-Table1[[#This Row],[Negotiated_Price]])/Table1[[#This Row],[Unit_Price]]</f>
        <v>0.13218928757150294</v>
      </c>
      <c r="O187">
        <v>26</v>
      </c>
      <c r="P187" t="s">
        <v>15</v>
      </c>
      <c r="Q187">
        <f>IF(Table1[[#This Row],[Compliance]]="Yes", 1, 0)</f>
        <v>1</v>
      </c>
    </row>
    <row r="188" spans="1:17" hidden="1" x14ac:dyDescent="0.35">
      <c r="A188" t="s">
        <v>213</v>
      </c>
      <c r="B188" t="s">
        <v>17</v>
      </c>
      <c r="C188" s="1">
        <v>44876</v>
      </c>
      <c r="E188" s="1">
        <f>SUM(Table1[[#This Row],[Delivery_Date]]-Table1[[#This Row],[Order_Date]])</f>
        <v>-44876</v>
      </c>
      <c r="F188" t="s">
        <v>21</v>
      </c>
      <c r="G188" t="s">
        <v>33</v>
      </c>
      <c r="H188">
        <v>1088</v>
      </c>
      <c r="I188">
        <v>55.29</v>
      </c>
      <c r="J188">
        <v>53.04</v>
      </c>
      <c r="K188">
        <f>Table1[[#This Row],[Quantity]]*Table1[[#This Row],[Negotiated_Price]]</f>
        <v>57707.519999999997</v>
      </c>
      <c r="L188" s="5">
        <f>Table1[[#This Row],[Quantity]]*Table1[[#This Row],[Unit_Price]]</f>
        <v>60155.519999999997</v>
      </c>
      <c r="M188">
        <f>Table1[[#This Row],[Unit_Price]]-Table1[[#This Row],[Negotiated_Price]]</f>
        <v>2.25</v>
      </c>
      <c r="N188" s="2">
        <f>(Table1[[#This Row],[Unit_Price]]-Table1[[#This Row],[Negotiated_Price]])/Table1[[#This Row],[Unit_Price]]</f>
        <v>4.0694519804666304E-2</v>
      </c>
      <c r="O188">
        <v>161</v>
      </c>
      <c r="P188" t="s">
        <v>27</v>
      </c>
      <c r="Q188">
        <f>IF(Table1[[#This Row],[Compliance]]="Yes", 1, 0)</f>
        <v>0</v>
      </c>
    </row>
    <row r="189" spans="1:17" x14ac:dyDescent="0.35">
      <c r="A189" t="s">
        <v>214</v>
      </c>
      <c r="B189" t="s">
        <v>23</v>
      </c>
      <c r="C189" s="1">
        <v>44807</v>
      </c>
      <c r="D189" s="1">
        <v>44811</v>
      </c>
      <c r="E189" s="1">
        <f>SUM(Table1[[#This Row],[Delivery_Date]]-Table1[[#This Row],[Order_Date]])</f>
        <v>4</v>
      </c>
      <c r="F189" t="s">
        <v>13</v>
      </c>
      <c r="G189" t="s">
        <v>18</v>
      </c>
      <c r="H189">
        <v>1931</v>
      </c>
      <c r="I189" s="4">
        <v>72.88</v>
      </c>
      <c r="J189" s="4">
        <v>64.69</v>
      </c>
      <c r="K189" s="4">
        <f>Table1[[#This Row],[Quantity]]*Table1[[#This Row],[Negotiated_Price]]</f>
        <v>124916.39</v>
      </c>
      <c r="L189" s="4">
        <f>Table1[[#This Row],[Quantity]]*Table1[[#This Row],[Unit_Price]]</f>
        <v>140731.28</v>
      </c>
      <c r="M189" s="4">
        <f>Table1[[#This Row],[Unit_Price]]-Table1[[#This Row],[Negotiated_Price]]</f>
        <v>8.1899999999999977</v>
      </c>
      <c r="N189" s="3">
        <f>(Table1[[#This Row],[Unit_Price]]-Table1[[#This Row],[Negotiated_Price]])/Table1[[#This Row],[Unit_Price]]</f>
        <v>0.11237650933040612</v>
      </c>
      <c r="O189">
        <v>187</v>
      </c>
      <c r="P189" t="s">
        <v>15</v>
      </c>
      <c r="Q189">
        <f>IF(Table1[[#This Row],[Compliance]]="Yes", 1, 0)</f>
        <v>1</v>
      </c>
    </row>
    <row r="190" spans="1:17" x14ac:dyDescent="0.35">
      <c r="A190" t="s">
        <v>215</v>
      </c>
      <c r="B190" t="s">
        <v>20</v>
      </c>
      <c r="C190" s="1">
        <v>44621</v>
      </c>
      <c r="D190" s="1">
        <v>44631</v>
      </c>
      <c r="E190" s="1">
        <f>SUM(Table1[[#This Row],[Delivery_Date]]-Table1[[#This Row],[Order_Date]])</f>
        <v>10</v>
      </c>
      <c r="F190" t="s">
        <v>39</v>
      </c>
      <c r="G190" t="s">
        <v>18</v>
      </c>
      <c r="H190">
        <v>1627</v>
      </c>
      <c r="I190" s="4">
        <v>25.76</v>
      </c>
      <c r="J190" s="4">
        <v>25.09</v>
      </c>
      <c r="K190" s="4">
        <f>Table1[[#This Row],[Quantity]]*Table1[[#This Row],[Negotiated_Price]]</f>
        <v>40821.43</v>
      </c>
      <c r="L190" s="4">
        <f>Table1[[#This Row],[Quantity]]*Table1[[#This Row],[Unit_Price]]</f>
        <v>41911.520000000004</v>
      </c>
      <c r="M190" s="4">
        <f>Table1[[#This Row],[Unit_Price]]-Table1[[#This Row],[Negotiated_Price]]</f>
        <v>0.67000000000000171</v>
      </c>
      <c r="N190" s="3">
        <f>(Table1[[#This Row],[Unit_Price]]-Table1[[#This Row],[Negotiated_Price]])/Table1[[#This Row],[Unit_Price]]</f>
        <v>2.6009316770186398E-2</v>
      </c>
      <c r="O190">
        <v>74</v>
      </c>
      <c r="P190" t="s">
        <v>15</v>
      </c>
      <c r="Q190">
        <f>IF(Table1[[#This Row],[Compliance]]="Yes", 1, 0)</f>
        <v>1</v>
      </c>
    </row>
    <row r="191" spans="1:17" hidden="1" x14ac:dyDescent="0.35">
      <c r="A191" t="s">
        <v>216</v>
      </c>
      <c r="B191" t="s">
        <v>23</v>
      </c>
      <c r="C191" s="1">
        <v>44808</v>
      </c>
      <c r="E191" s="1">
        <f>SUM(Table1[[#This Row],[Delivery_Date]]-Table1[[#This Row],[Order_Date]])</f>
        <v>-44808</v>
      </c>
      <c r="F191" t="s">
        <v>24</v>
      </c>
      <c r="G191" t="s">
        <v>18</v>
      </c>
      <c r="H191">
        <v>941</v>
      </c>
      <c r="I191">
        <v>28.4</v>
      </c>
      <c r="J191">
        <v>27.21</v>
      </c>
      <c r="K191">
        <f>Table1[[#This Row],[Quantity]]*Table1[[#This Row],[Negotiated_Price]]</f>
        <v>25604.61</v>
      </c>
      <c r="L191" s="5">
        <f>Table1[[#This Row],[Quantity]]*Table1[[#This Row],[Unit_Price]]</f>
        <v>26724.399999999998</v>
      </c>
      <c r="M191">
        <f>Table1[[#This Row],[Unit_Price]]-Table1[[#This Row],[Negotiated_Price]]</f>
        <v>1.1899999999999977</v>
      </c>
      <c r="N191" s="2">
        <f>(Table1[[#This Row],[Unit_Price]]-Table1[[#This Row],[Negotiated_Price]])/Table1[[#This Row],[Unit_Price]]</f>
        <v>4.1901408450704149E-2</v>
      </c>
      <c r="P191" t="s">
        <v>27</v>
      </c>
      <c r="Q191">
        <f>IF(Table1[[#This Row],[Compliance]]="Yes", 1, 0)</f>
        <v>0</v>
      </c>
    </row>
    <row r="192" spans="1:17" x14ac:dyDescent="0.35">
      <c r="A192" t="s">
        <v>217</v>
      </c>
      <c r="B192" t="s">
        <v>20</v>
      </c>
      <c r="C192" s="1">
        <v>45142</v>
      </c>
      <c r="D192" s="1">
        <v>45144</v>
      </c>
      <c r="E192" s="1">
        <f>SUM(Table1[[#This Row],[Delivery_Date]]-Table1[[#This Row],[Order_Date]])</f>
        <v>2</v>
      </c>
      <c r="F192" t="s">
        <v>21</v>
      </c>
      <c r="G192" t="s">
        <v>18</v>
      </c>
      <c r="H192">
        <v>1534</v>
      </c>
      <c r="I192" s="4">
        <v>14.98</v>
      </c>
      <c r="J192" s="4">
        <v>12.79</v>
      </c>
      <c r="K192" s="4">
        <f>Table1[[#This Row],[Quantity]]*Table1[[#This Row],[Negotiated_Price]]</f>
        <v>19619.859999999997</v>
      </c>
      <c r="L192" s="4">
        <f>Table1[[#This Row],[Quantity]]*Table1[[#This Row],[Unit_Price]]</f>
        <v>22979.32</v>
      </c>
      <c r="M192" s="4">
        <f>Table1[[#This Row],[Unit_Price]]-Table1[[#This Row],[Negotiated_Price]]</f>
        <v>2.1900000000000013</v>
      </c>
      <c r="N192" s="3">
        <f>(Table1[[#This Row],[Unit_Price]]-Table1[[#This Row],[Negotiated_Price]])/Table1[[#This Row],[Unit_Price]]</f>
        <v>0.14619492656875843</v>
      </c>
      <c r="P192" t="s">
        <v>15</v>
      </c>
      <c r="Q192">
        <f>IF(Table1[[#This Row],[Compliance]]="Yes", 1, 0)</f>
        <v>1</v>
      </c>
    </row>
    <row r="193" spans="1:17" x14ac:dyDescent="0.35">
      <c r="A193" t="s">
        <v>218</v>
      </c>
      <c r="B193" t="s">
        <v>12</v>
      </c>
      <c r="C193" s="1">
        <v>44642</v>
      </c>
      <c r="D193" s="1">
        <v>44654</v>
      </c>
      <c r="E193" s="1">
        <f>SUM(Table1[[#This Row],[Delivery_Date]]-Table1[[#This Row],[Order_Date]])</f>
        <v>12</v>
      </c>
      <c r="F193" t="s">
        <v>26</v>
      </c>
      <c r="G193" t="s">
        <v>18</v>
      </c>
      <c r="H193">
        <v>1764</v>
      </c>
      <c r="I193" s="4">
        <v>25.46</v>
      </c>
      <c r="J193" s="4">
        <v>24.52</v>
      </c>
      <c r="K193" s="4">
        <f>Table1[[#This Row],[Quantity]]*Table1[[#This Row],[Negotiated_Price]]</f>
        <v>43253.279999999999</v>
      </c>
      <c r="L193" s="4">
        <f>Table1[[#This Row],[Quantity]]*Table1[[#This Row],[Unit_Price]]</f>
        <v>44911.44</v>
      </c>
      <c r="M193" s="4">
        <f>Table1[[#This Row],[Unit_Price]]-Table1[[#This Row],[Negotiated_Price]]</f>
        <v>0.94000000000000128</v>
      </c>
      <c r="N193" s="3">
        <f>(Table1[[#This Row],[Unit_Price]]-Table1[[#This Row],[Negotiated_Price]])/Table1[[#This Row],[Unit_Price]]</f>
        <v>3.6920659858601775E-2</v>
      </c>
      <c r="O193">
        <v>46</v>
      </c>
      <c r="P193" t="s">
        <v>15</v>
      </c>
      <c r="Q193">
        <f>IF(Table1[[#This Row],[Compliance]]="Yes", 1, 0)</f>
        <v>1</v>
      </c>
    </row>
    <row r="194" spans="1:17" x14ac:dyDescent="0.35">
      <c r="A194" t="s">
        <v>219</v>
      </c>
      <c r="B194" t="s">
        <v>17</v>
      </c>
      <c r="C194" s="1">
        <v>44649</v>
      </c>
      <c r="D194" s="1">
        <v>44657</v>
      </c>
      <c r="E194" s="1">
        <f>SUM(Table1[[#This Row],[Delivery_Date]]-Table1[[#This Row],[Order_Date]])</f>
        <v>8</v>
      </c>
      <c r="F194" t="s">
        <v>39</v>
      </c>
      <c r="G194" t="s">
        <v>18</v>
      </c>
      <c r="H194">
        <v>1648</v>
      </c>
      <c r="I194" s="4">
        <v>35.42</v>
      </c>
      <c r="J194" s="4">
        <v>31.46</v>
      </c>
      <c r="K194" s="4">
        <f>Table1[[#This Row],[Quantity]]*Table1[[#This Row],[Negotiated_Price]]</f>
        <v>51846.080000000002</v>
      </c>
      <c r="L194" s="4">
        <f>Table1[[#This Row],[Quantity]]*Table1[[#This Row],[Unit_Price]]</f>
        <v>58372.160000000003</v>
      </c>
      <c r="M194" s="4">
        <f>Table1[[#This Row],[Unit_Price]]-Table1[[#This Row],[Negotiated_Price]]</f>
        <v>3.9600000000000009</v>
      </c>
      <c r="N194" s="3">
        <f>(Table1[[#This Row],[Unit_Price]]-Table1[[#This Row],[Negotiated_Price]])/Table1[[#This Row],[Unit_Price]]</f>
        <v>0.11180124223602486</v>
      </c>
      <c r="P194" t="s">
        <v>27</v>
      </c>
      <c r="Q194">
        <f>IF(Table1[[#This Row],[Compliance]]="Yes", 1, 0)</f>
        <v>0</v>
      </c>
    </row>
    <row r="195" spans="1:17" x14ac:dyDescent="0.35">
      <c r="A195" t="s">
        <v>220</v>
      </c>
      <c r="B195" t="s">
        <v>20</v>
      </c>
      <c r="C195" s="1">
        <v>45059</v>
      </c>
      <c r="D195" s="1">
        <v>45078</v>
      </c>
      <c r="E195" s="1">
        <f>SUM(Table1[[#This Row],[Delivery_Date]]-Table1[[#This Row],[Order_Date]])</f>
        <v>19</v>
      </c>
      <c r="F195" t="s">
        <v>24</v>
      </c>
      <c r="G195" t="s">
        <v>18</v>
      </c>
      <c r="H195">
        <v>913</v>
      </c>
      <c r="I195" s="4">
        <v>28.01</v>
      </c>
      <c r="J195" s="4">
        <v>24.06</v>
      </c>
      <c r="K195" s="4">
        <f>Table1[[#This Row],[Quantity]]*Table1[[#This Row],[Negotiated_Price]]</f>
        <v>21966.78</v>
      </c>
      <c r="L195" s="4">
        <f>Table1[[#This Row],[Quantity]]*Table1[[#This Row],[Unit_Price]]</f>
        <v>25573.13</v>
      </c>
      <c r="M195" s="4">
        <f>Table1[[#This Row],[Unit_Price]]-Table1[[#This Row],[Negotiated_Price]]</f>
        <v>3.9500000000000028</v>
      </c>
      <c r="N195" s="3">
        <f>(Table1[[#This Row],[Unit_Price]]-Table1[[#This Row],[Negotiated_Price]])/Table1[[#This Row],[Unit_Price]]</f>
        <v>0.14102106390574803</v>
      </c>
      <c r="O195">
        <v>53</v>
      </c>
      <c r="P195" t="s">
        <v>15</v>
      </c>
      <c r="Q195">
        <f>IF(Table1[[#This Row],[Compliance]]="Yes", 1, 0)</f>
        <v>1</v>
      </c>
    </row>
    <row r="196" spans="1:17" x14ac:dyDescent="0.35">
      <c r="A196" t="s">
        <v>221</v>
      </c>
      <c r="B196" t="s">
        <v>12</v>
      </c>
      <c r="C196" s="1">
        <v>44632</v>
      </c>
      <c r="D196" s="1">
        <v>44638</v>
      </c>
      <c r="E196" s="1">
        <f>SUM(Table1[[#This Row],[Delivery_Date]]-Table1[[#This Row],[Order_Date]])</f>
        <v>6</v>
      </c>
      <c r="F196" t="s">
        <v>24</v>
      </c>
      <c r="G196" t="s">
        <v>14</v>
      </c>
      <c r="H196">
        <v>792</v>
      </c>
      <c r="I196" s="4">
        <v>18.16</v>
      </c>
      <c r="J196" s="4">
        <v>17.25</v>
      </c>
      <c r="K196" s="4">
        <f>Table1[[#This Row],[Quantity]]*Table1[[#This Row],[Negotiated_Price]]</f>
        <v>13662</v>
      </c>
      <c r="L196" s="4">
        <f>Table1[[#This Row],[Quantity]]*Table1[[#This Row],[Unit_Price]]</f>
        <v>14382.72</v>
      </c>
      <c r="M196" s="4">
        <f>Table1[[#This Row],[Unit_Price]]-Table1[[#This Row],[Negotiated_Price]]</f>
        <v>0.91000000000000014</v>
      </c>
      <c r="N196" s="3">
        <f>(Table1[[#This Row],[Unit_Price]]-Table1[[#This Row],[Negotiated_Price]])/Table1[[#This Row],[Unit_Price]]</f>
        <v>5.0110132158590316E-2</v>
      </c>
      <c r="O196">
        <v>17</v>
      </c>
      <c r="P196" t="s">
        <v>15</v>
      </c>
      <c r="Q196">
        <f>IF(Table1[[#This Row],[Compliance]]="Yes", 1, 0)</f>
        <v>1</v>
      </c>
    </row>
    <row r="197" spans="1:17" x14ac:dyDescent="0.35">
      <c r="A197" t="s">
        <v>222</v>
      </c>
      <c r="B197" t="s">
        <v>29</v>
      </c>
      <c r="C197" s="1">
        <v>45107</v>
      </c>
      <c r="D197" s="1">
        <v>45110</v>
      </c>
      <c r="E197" s="1">
        <f>SUM(Table1[[#This Row],[Delivery_Date]]-Table1[[#This Row],[Order_Date]])</f>
        <v>3</v>
      </c>
      <c r="F197" t="s">
        <v>13</v>
      </c>
      <c r="G197" t="s">
        <v>33</v>
      </c>
      <c r="H197">
        <v>1314</v>
      </c>
      <c r="I197" s="4">
        <v>22.63</v>
      </c>
      <c r="J197" s="4">
        <v>21.06</v>
      </c>
      <c r="K197" s="4">
        <f>Table1[[#This Row],[Quantity]]*Table1[[#This Row],[Negotiated_Price]]</f>
        <v>27672.839999999997</v>
      </c>
      <c r="L197" s="4">
        <f>Table1[[#This Row],[Quantity]]*Table1[[#This Row],[Unit_Price]]</f>
        <v>29735.82</v>
      </c>
      <c r="M197" s="4">
        <f>Table1[[#This Row],[Unit_Price]]-Table1[[#This Row],[Negotiated_Price]]</f>
        <v>1.5700000000000003</v>
      </c>
      <c r="N197" s="3">
        <f>(Table1[[#This Row],[Unit_Price]]-Table1[[#This Row],[Negotiated_Price]])/Table1[[#This Row],[Unit_Price]]</f>
        <v>6.9376933274414507E-2</v>
      </c>
      <c r="O197">
        <v>44</v>
      </c>
      <c r="P197" t="s">
        <v>15</v>
      </c>
      <c r="Q197">
        <f>IF(Table1[[#This Row],[Compliance]]="Yes", 1, 0)</f>
        <v>1</v>
      </c>
    </row>
    <row r="198" spans="1:17" x14ac:dyDescent="0.35">
      <c r="A198" t="s">
        <v>223</v>
      </c>
      <c r="B198" t="s">
        <v>23</v>
      </c>
      <c r="C198" s="1">
        <v>44690</v>
      </c>
      <c r="D198" s="1">
        <v>44703</v>
      </c>
      <c r="E198" s="1">
        <f>SUM(Table1[[#This Row],[Delivery_Date]]-Table1[[#This Row],[Order_Date]])</f>
        <v>13</v>
      </c>
      <c r="F198" t="s">
        <v>21</v>
      </c>
      <c r="G198" t="s">
        <v>18</v>
      </c>
      <c r="H198">
        <v>613</v>
      </c>
      <c r="I198" s="4">
        <v>52.5</v>
      </c>
      <c r="J198" s="4">
        <v>45.19</v>
      </c>
      <c r="K198" s="4">
        <f>Table1[[#This Row],[Quantity]]*Table1[[#This Row],[Negotiated_Price]]</f>
        <v>27701.469999999998</v>
      </c>
      <c r="L198" s="4">
        <f>Table1[[#This Row],[Quantity]]*Table1[[#This Row],[Unit_Price]]</f>
        <v>32182.5</v>
      </c>
      <c r="M198" s="4">
        <f>Table1[[#This Row],[Unit_Price]]-Table1[[#This Row],[Negotiated_Price]]</f>
        <v>7.3100000000000023</v>
      </c>
      <c r="N198" s="3">
        <f>(Table1[[#This Row],[Unit_Price]]-Table1[[#This Row],[Negotiated_Price]])/Table1[[#This Row],[Unit_Price]]</f>
        <v>0.13923809523809527</v>
      </c>
      <c r="O198">
        <v>70</v>
      </c>
      <c r="P198" t="s">
        <v>15</v>
      </c>
      <c r="Q198">
        <f>IF(Table1[[#This Row],[Compliance]]="Yes", 1, 0)</f>
        <v>1</v>
      </c>
    </row>
    <row r="199" spans="1:17" x14ac:dyDescent="0.35">
      <c r="A199" t="s">
        <v>224</v>
      </c>
      <c r="B199" t="s">
        <v>12</v>
      </c>
      <c r="C199" s="1">
        <v>44693</v>
      </c>
      <c r="D199" s="1">
        <v>44701</v>
      </c>
      <c r="E199" s="1">
        <f>SUM(Table1[[#This Row],[Delivery_Date]]-Table1[[#This Row],[Order_Date]])</f>
        <v>8</v>
      </c>
      <c r="F199" t="s">
        <v>13</v>
      </c>
      <c r="G199" t="s">
        <v>18</v>
      </c>
      <c r="H199">
        <v>1070</v>
      </c>
      <c r="I199" s="4">
        <v>29.14</v>
      </c>
      <c r="J199" s="4">
        <v>26.63</v>
      </c>
      <c r="K199" s="4">
        <f>Table1[[#This Row],[Quantity]]*Table1[[#This Row],[Negotiated_Price]]</f>
        <v>28494.1</v>
      </c>
      <c r="L199" s="4">
        <f>Table1[[#This Row],[Quantity]]*Table1[[#This Row],[Unit_Price]]</f>
        <v>31179.8</v>
      </c>
      <c r="M199" s="4">
        <f>Table1[[#This Row],[Unit_Price]]-Table1[[#This Row],[Negotiated_Price]]</f>
        <v>2.5100000000000016</v>
      </c>
      <c r="N199" s="3">
        <f>(Table1[[#This Row],[Unit_Price]]-Table1[[#This Row],[Negotiated_Price]])/Table1[[#This Row],[Unit_Price]]</f>
        <v>8.6135895676046723E-2</v>
      </c>
      <c r="O199">
        <v>24</v>
      </c>
      <c r="P199" t="s">
        <v>15</v>
      </c>
      <c r="Q199">
        <f>IF(Table1[[#This Row],[Compliance]]="Yes", 1, 0)</f>
        <v>1</v>
      </c>
    </row>
    <row r="200" spans="1:17" x14ac:dyDescent="0.35">
      <c r="A200" t="s">
        <v>225</v>
      </c>
      <c r="B200" t="s">
        <v>20</v>
      </c>
      <c r="C200" s="1">
        <v>45237</v>
      </c>
      <c r="D200" s="1">
        <v>45256</v>
      </c>
      <c r="E200" s="1">
        <f>SUM(Table1[[#This Row],[Delivery_Date]]-Table1[[#This Row],[Order_Date]])</f>
        <v>19</v>
      </c>
      <c r="F200" t="s">
        <v>26</v>
      </c>
      <c r="G200" t="s">
        <v>33</v>
      </c>
      <c r="H200">
        <v>145</v>
      </c>
      <c r="I200" s="4">
        <v>47.49</v>
      </c>
      <c r="J200" s="4">
        <v>42.76</v>
      </c>
      <c r="K200" s="4">
        <f>Table1[[#This Row],[Quantity]]*Table1[[#This Row],[Negotiated_Price]]</f>
        <v>6200.2</v>
      </c>
      <c r="L200" s="4">
        <f>Table1[[#This Row],[Quantity]]*Table1[[#This Row],[Unit_Price]]</f>
        <v>6886.05</v>
      </c>
      <c r="M200" s="4">
        <f>Table1[[#This Row],[Unit_Price]]-Table1[[#This Row],[Negotiated_Price]]</f>
        <v>4.730000000000004</v>
      </c>
      <c r="N200" s="3">
        <f>(Table1[[#This Row],[Unit_Price]]-Table1[[#This Row],[Negotiated_Price]])/Table1[[#This Row],[Unit_Price]]</f>
        <v>9.9599915771741501E-2</v>
      </c>
      <c r="O200">
        <v>6</v>
      </c>
      <c r="P200" t="s">
        <v>15</v>
      </c>
      <c r="Q200">
        <f>IF(Table1[[#This Row],[Compliance]]="Yes", 1, 0)</f>
        <v>1</v>
      </c>
    </row>
    <row r="201" spans="1:17" x14ac:dyDescent="0.35">
      <c r="A201" t="s">
        <v>226</v>
      </c>
      <c r="B201" t="s">
        <v>17</v>
      </c>
      <c r="C201" s="1">
        <v>45048</v>
      </c>
      <c r="D201" s="1">
        <v>45063</v>
      </c>
      <c r="E201" s="1">
        <f>SUM(Table1[[#This Row],[Delivery_Date]]-Table1[[#This Row],[Order_Date]])</f>
        <v>15</v>
      </c>
      <c r="F201" t="s">
        <v>26</v>
      </c>
      <c r="G201" t="s">
        <v>18</v>
      </c>
      <c r="H201">
        <v>1973</v>
      </c>
      <c r="I201" s="4">
        <v>59.73</v>
      </c>
      <c r="J201" s="4">
        <v>54.95</v>
      </c>
      <c r="K201" s="4">
        <f>Table1[[#This Row],[Quantity]]*Table1[[#This Row],[Negotiated_Price]]</f>
        <v>108416.35</v>
      </c>
      <c r="L201" s="4">
        <f>Table1[[#This Row],[Quantity]]*Table1[[#This Row],[Unit_Price]]</f>
        <v>117847.29</v>
      </c>
      <c r="M201" s="4">
        <f>Table1[[#This Row],[Unit_Price]]-Table1[[#This Row],[Negotiated_Price]]</f>
        <v>4.779999999999994</v>
      </c>
      <c r="N201" s="3">
        <f>(Table1[[#This Row],[Unit_Price]]-Table1[[#This Row],[Negotiated_Price]])/Table1[[#This Row],[Unit_Price]]</f>
        <v>8.0026787209107553E-2</v>
      </c>
      <c r="O201">
        <v>291</v>
      </c>
      <c r="P201" t="s">
        <v>15</v>
      </c>
      <c r="Q201">
        <f>IF(Table1[[#This Row],[Compliance]]="Yes", 1, 0)</f>
        <v>1</v>
      </c>
    </row>
    <row r="202" spans="1:17" x14ac:dyDescent="0.35">
      <c r="A202" t="s">
        <v>227</v>
      </c>
      <c r="B202" t="s">
        <v>29</v>
      </c>
      <c r="C202" s="1">
        <v>45124</v>
      </c>
      <c r="D202" s="1">
        <v>45139</v>
      </c>
      <c r="E202" s="1">
        <f>SUM(Table1[[#This Row],[Delivery_Date]]-Table1[[#This Row],[Order_Date]])</f>
        <v>15</v>
      </c>
      <c r="F202" t="s">
        <v>13</v>
      </c>
      <c r="G202" t="s">
        <v>18</v>
      </c>
      <c r="H202">
        <v>1807</v>
      </c>
      <c r="I202" s="4">
        <v>78.63</v>
      </c>
      <c r="J202" s="4">
        <v>73.08</v>
      </c>
      <c r="K202" s="4">
        <f>Table1[[#This Row],[Quantity]]*Table1[[#This Row],[Negotiated_Price]]</f>
        <v>132055.56</v>
      </c>
      <c r="L202" s="4">
        <f>Table1[[#This Row],[Quantity]]*Table1[[#This Row],[Unit_Price]]</f>
        <v>142084.41</v>
      </c>
      <c r="M202" s="4">
        <f>Table1[[#This Row],[Unit_Price]]-Table1[[#This Row],[Negotiated_Price]]</f>
        <v>5.5499999999999972</v>
      </c>
      <c r="N202" s="3">
        <f>(Table1[[#This Row],[Unit_Price]]-Table1[[#This Row],[Negotiated_Price]])/Table1[[#This Row],[Unit_Price]]</f>
        <v>7.0583746661579516E-2</v>
      </c>
      <c r="O202">
        <v>100</v>
      </c>
      <c r="P202" t="s">
        <v>15</v>
      </c>
      <c r="Q202">
        <f>IF(Table1[[#This Row],[Compliance]]="Yes", 1, 0)</f>
        <v>1</v>
      </c>
    </row>
    <row r="203" spans="1:17" x14ac:dyDescent="0.35">
      <c r="A203" t="s">
        <v>228</v>
      </c>
      <c r="B203" t="s">
        <v>29</v>
      </c>
      <c r="C203" s="1">
        <v>44731</v>
      </c>
      <c r="D203" s="1">
        <v>44732</v>
      </c>
      <c r="E203" s="1">
        <f>SUM(Table1[[#This Row],[Delivery_Date]]-Table1[[#This Row],[Order_Date]])</f>
        <v>1</v>
      </c>
      <c r="F203" t="s">
        <v>39</v>
      </c>
      <c r="G203" t="s">
        <v>18</v>
      </c>
      <c r="H203">
        <v>534</v>
      </c>
      <c r="I203" s="4">
        <v>13.88</v>
      </c>
      <c r="J203" s="4">
        <v>12.51</v>
      </c>
      <c r="K203" s="4">
        <f>Table1[[#This Row],[Quantity]]*Table1[[#This Row],[Negotiated_Price]]</f>
        <v>6680.34</v>
      </c>
      <c r="L203" s="4">
        <f>Table1[[#This Row],[Quantity]]*Table1[[#This Row],[Unit_Price]]</f>
        <v>7411.92</v>
      </c>
      <c r="M203" s="4">
        <f>Table1[[#This Row],[Unit_Price]]-Table1[[#This Row],[Negotiated_Price]]</f>
        <v>1.370000000000001</v>
      </c>
      <c r="N203" s="3">
        <f>(Table1[[#This Row],[Unit_Price]]-Table1[[#This Row],[Negotiated_Price]])/Table1[[#This Row],[Unit_Price]]</f>
        <v>9.870317002881851E-2</v>
      </c>
      <c r="O203">
        <v>100</v>
      </c>
      <c r="P203" t="s">
        <v>15</v>
      </c>
      <c r="Q203">
        <f>IF(Table1[[#This Row],[Compliance]]="Yes", 1, 0)</f>
        <v>1</v>
      </c>
    </row>
    <row r="204" spans="1:17" x14ac:dyDescent="0.35">
      <c r="A204" t="s">
        <v>229</v>
      </c>
      <c r="B204" t="s">
        <v>12</v>
      </c>
      <c r="C204" s="1">
        <v>44833</v>
      </c>
      <c r="D204" s="1">
        <v>44848</v>
      </c>
      <c r="E204" s="1">
        <f>SUM(Table1[[#This Row],[Delivery_Date]]-Table1[[#This Row],[Order_Date]])</f>
        <v>15</v>
      </c>
      <c r="F204" t="s">
        <v>39</v>
      </c>
      <c r="G204" t="s">
        <v>18</v>
      </c>
      <c r="H204">
        <v>1480</v>
      </c>
      <c r="I204" s="4">
        <v>85.22</v>
      </c>
      <c r="J204" s="4">
        <v>75.48</v>
      </c>
      <c r="K204" s="4">
        <f>Table1[[#This Row],[Quantity]]*Table1[[#This Row],[Negotiated_Price]]</f>
        <v>111710.40000000001</v>
      </c>
      <c r="L204" s="4">
        <f>Table1[[#This Row],[Quantity]]*Table1[[#This Row],[Unit_Price]]</f>
        <v>126125.59999999999</v>
      </c>
      <c r="M204" s="4">
        <f>Table1[[#This Row],[Unit_Price]]-Table1[[#This Row],[Negotiated_Price]]</f>
        <v>9.7399999999999949</v>
      </c>
      <c r="N204" s="3">
        <f>(Table1[[#This Row],[Unit_Price]]-Table1[[#This Row],[Negotiated_Price]])/Table1[[#This Row],[Unit_Price]]</f>
        <v>0.1142924196198075</v>
      </c>
      <c r="O204">
        <v>100</v>
      </c>
      <c r="P204" t="s">
        <v>15</v>
      </c>
      <c r="Q204">
        <f>IF(Table1[[#This Row],[Compliance]]="Yes", 1, 0)</f>
        <v>1</v>
      </c>
    </row>
    <row r="205" spans="1:17" hidden="1" x14ac:dyDescent="0.35">
      <c r="A205" t="s">
        <v>230</v>
      </c>
      <c r="B205" t="s">
        <v>12</v>
      </c>
      <c r="C205" s="1">
        <v>45102</v>
      </c>
      <c r="E205" s="1">
        <f>SUM(Table1[[#This Row],[Delivery_Date]]-Table1[[#This Row],[Order_Date]])</f>
        <v>-45102</v>
      </c>
      <c r="F205" t="s">
        <v>13</v>
      </c>
      <c r="G205" t="s">
        <v>18</v>
      </c>
      <c r="H205">
        <v>280</v>
      </c>
      <c r="I205">
        <v>72.16</v>
      </c>
      <c r="J205">
        <v>62.38</v>
      </c>
      <c r="K205">
        <f>Table1[[#This Row],[Quantity]]*Table1[[#This Row],[Negotiated_Price]]</f>
        <v>17466.400000000001</v>
      </c>
      <c r="L205" s="5">
        <f>Table1[[#This Row],[Quantity]]*Table1[[#This Row],[Unit_Price]]</f>
        <v>20204.8</v>
      </c>
      <c r="M205">
        <f>Table1[[#This Row],[Unit_Price]]-Table1[[#This Row],[Negotiated_Price]]</f>
        <v>9.779999999999994</v>
      </c>
      <c r="N205" s="2">
        <f>(Table1[[#This Row],[Unit_Price]]-Table1[[#This Row],[Negotiated_Price]])/Table1[[#This Row],[Unit_Price]]</f>
        <v>0.13553215077605313</v>
      </c>
      <c r="O205">
        <v>100</v>
      </c>
      <c r="P205" t="s">
        <v>15</v>
      </c>
      <c r="Q205">
        <f>IF(Table1[[#This Row],[Compliance]]="Yes", 1, 0)</f>
        <v>1</v>
      </c>
    </row>
    <row r="206" spans="1:17" x14ac:dyDescent="0.35">
      <c r="A206" t="s">
        <v>231</v>
      </c>
      <c r="B206" t="s">
        <v>23</v>
      </c>
      <c r="C206" s="1">
        <v>45183</v>
      </c>
      <c r="D206" s="1">
        <v>45189</v>
      </c>
      <c r="E206" s="1">
        <f>SUM(Table1[[#This Row],[Delivery_Date]]-Table1[[#This Row],[Order_Date]])</f>
        <v>6</v>
      </c>
      <c r="F206" t="s">
        <v>13</v>
      </c>
      <c r="G206" t="s">
        <v>14</v>
      </c>
      <c r="H206">
        <v>798</v>
      </c>
      <c r="I206" s="4">
        <v>19.09</v>
      </c>
      <c r="J206" s="4">
        <v>17.760000000000002</v>
      </c>
      <c r="K206" s="4">
        <f>Table1[[#This Row],[Quantity]]*Table1[[#This Row],[Negotiated_Price]]</f>
        <v>14172.480000000001</v>
      </c>
      <c r="L206" s="4">
        <f>Table1[[#This Row],[Quantity]]*Table1[[#This Row],[Unit_Price]]</f>
        <v>15233.82</v>
      </c>
      <c r="M206" s="4">
        <f>Table1[[#This Row],[Unit_Price]]-Table1[[#This Row],[Negotiated_Price]]</f>
        <v>1.3299999999999983</v>
      </c>
      <c r="N206" s="3">
        <f>(Table1[[#This Row],[Unit_Price]]-Table1[[#This Row],[Negotiated_Price]])/Table1[[#This Row],[Unit_Price]]</f>
        <v>6.9669984284965861E-2</v>
      </c>
      <c r="O206">
        <v>100</v>
      </c>
      <c r="P206" t="s">
        <v>15</v>
      </c>
      <c r="Q206">
        <f>IF(Table1[[#This Row],[Compliance]]="Yes", 1, 0)</f>
        <v>1</v>
      </c>
    </row>
    <row r="207" spans="1:17" x14ac:dyDescent="0.35">
      <c r="A207" t="s">
        <v>232</v>
      </c>
      <c r="B207" t="s">
        <v>29</v>
      </c>
      <c r="C207" s="1">
        <v>44995</v>
      </c>
      <c r="D207" s="1">
        <v>45007</v>
      </c>
      <c r="E207" s="1">
        <f>SUM(Table1[[#This Row],[Delivery_Date]]-Table1[[#This Row],[Order_Date]])</f>
        <v>12</v>
      </c>
      <c r="F207" t="s">
        <v>39</v>
      </c>
      <c r="G207" t="s">
        <v>18</v>
      </c>
      <c r="H207">
        <v>1728</v>
      </c>
      <c r="I207" s="4">
        <v>94.83</v>
      </c>
      <c r="J207" s="4">
        <v>90.2</v>
      </c>
      <c r="K207" s="4">
        <f>Table1[[#This Row],[Quantity]]*Table1[[#This Row],[Negotiated_Price]]</f>
        <v>155865.60000000001</v>
      </c>
      <c r="L207" s="4">
        <f>Table1[[#This Row],[Quantity]]*Table1[[#This Row],[Unit_Price]]</f>
        <v>163866.23999999999</v>
      </c>
      <c r="M207" s="4">
        <f>Table1[[#This Row],[Unit_Price]]-Table1[[#This Row],[Negotiated_Price]]</f>
        <v>4.6299999999999955</v>
      </c>
      <c r="N207" s="3">
        <f>(Table1[[#This Row],[Unit_Price]]-Table1[[#This Row],[Negotiated_Price]])/Table1[[#This Row],[Unit_Price]]</f>
        <v>4.8824211747337296E-2</v>
      </c>
      <c r="O207">
        <v>100</v>
      </c>
      <c r="P207" t="s">
        <v>15</v>
      </c>
      <c r="Q207">
        <f>IF(Table1[[#This Row],[Compliance]]="Yes", 1, 0)</f>
        <v>1</v>
      </c>
    </row>
    <row r="208" spans="1:17" hidden="1" x14ac:dyDescent="0.35">
      <c r="A208" t="s">
        <v>233</v>
      </c>
      <c r="B208" t="s">
        <v>29</v>
      </c>
      <c r="C208" s="1">
        <v>44778</v>
      </c>
      <c r="E208" s="1">
        <f>SUM(Table1[[#This Row],[Delivery_Date]]-Table1[[#This Row],[Order_Date]])</f>
        <v>-44778</v>
      </c>
      <c r="F208" t="s">
        <v>21</v>
      </c>
      <c r="G208" t="s">
        <v>18</v>
      </c>
      <c r="H208">
        <v>1244</v>
      </c>
      <c r="I208">
        <v>96.13</v>
      </c>
      <c r="J208">
        <v>84.78</v>
      </c>
      <c r="K208">
        <f>Table1[[#This Row],[Quantity]]*Table1[[#This Row],[Negotiated_Price]]</f>
        <v>105466.32</v>
      </c>
      <c r="L208" s="5">
        <f>Table1[[#This Row],[Quantity]]*Table1[[#This Row],[Unit_Price]]</f>
        <v>119585.72</v>
      </c>
      <c r="M208">
        <f>Table1[[#This Row],[Unit_Price]]-Table1[[#This Row],[Negotiated_Price]]</f>
        <v>11.349999999999994</v>
      </c>
      <c r="N208" s="2">
        <f>(Table1[[#This Row],[Unit_Price]]-Table1[[#This Row],[Negotiated_Price]])/Table1[[#This Row],[Unit_Price]]</f>
        <v>0.11806928118173302</v>
      </c>
      <c r="O208">
        <v>43</v>
      </c>
      <c r="P208" t="s">
        <v>15</v>
      </c>
      <c r="Q208">
        <f>IF(Table1[[#This Row],[Compliance]]="Yes", 1, 0)</f>
        <v>1</v>
      </c>
    </row>
    <row r="209" spans="1:17" x14ac:dyDescent="0.35">
      <c r="A209" t="s">
        <v>234</v>
      </c>
      <c r="B209" t="s">
        <v>23</v>
      </c>
      <c r="C209" s="1">
        <v>45114</v>
      </c>
      <c r="D209" s="1">
        <v>45128</v>
      </c>
      <c r="E209" s="1">
        <f>SUM(Table1[[#This Row],[Delivery_Date]]-Table1[[#This Row],[Order_Date]])</f>
        <v>14</v>
      </c>
      <c r="F209" t="s">
        <v>13</v>
      </c>
      <c r="G209" t="s">
        <v>18</v>
      </c>
      <c r="H209">
        <v>590</v>
      </c>
      <c r="I209" s="4">
        <v>16.89</v>
      </c>
      <c r="J209" s="4">
        <v>15.56</v>
      </c>
      <c r="K209" s="4">
        <f>Table1[[#This Row],[Quantity]]*Table1[[#This Row],[Negotiated_Price]]</f>
        <v>9180.4</v>
      </c>
      <c r="L209" s="4">
        <f>Table1[[#This Row],[Quantity]]*Table1[[#This Row],[Unit_Price]]</f>
        <v>9965.1</v>
      </c>
      <c r="M209" s="4">
        <f>Table1[[#This Row],[Unit_Price]]-Table1[[#This Row],[Negotiated_Price]]</f>
        <v>1.33</v>
      </c>
      <c r="N209" s="3">
        <f>(Table1[[#This Row],[Unit_Price]]-Table1[[#This Row],[Negotiated_Price]])/Table1[[#This Row],[Unit_Price]]</f>
        <v>7.8744819419775014E-2</v>
      </c>
      <c r="O209">
        <v>46</v>
      </c>
      <c r="P209" t="s">
        <v>27</v>
      </c>
      <c r="Q209">
        <f>IF(Table1[[#This Row],[Compliance]]="Yes", 1, 0)</f>
        <v>0</v>
      </c>
    </row>
    <row r="210" spans="1:17" x14ac:dyDescent="0.35">
      <c r="A210" t="s">
        <v>235</v>
      </c>
      <c r="B210" t="s">
        <v>17</v>
      </c>
      <c r="C210" s="1">
        <v>45268</v>
      </c>
      <c r="D210" s="1">
        <v>45283</v>
      </c>
      <c r="E210" s="1">
        <f>SUM(Table1[[#This Row],[Delivery_Date]]-Table1[[#This Row],[Order_Date]])</f>
        <v>15</v>
      </c>
      <c r="F210" t="s">
        <v>24</v>
      </c>
      <c r="G210" t="s">
        <v>18</v>
      </c>
      <c r="H210">
        <v>1109</v>
      </c>
      <c r="I210" s="4">
        <v>38.93</v>
      </c>
      <c r="J210" s="4">
        <v>33.33</v>
      </c>
      <c r="K210" s="4">
        <f>Table1[[#This Row],[Quantity]]*Table1[[#This Row],[Negotiated_Price]]</f>
        <v>36962.97</v>
      </c>
      <c r="L210" s="4">
        <f>Table1[[#This Row],[Quantity]]*Table1[[#This Row],[Unit_Price]]</f>
        <v>43173.37</v>
      </c>
      <c r="M210" s="4">
        <f>Table1[[#This Row],[Unit_Price]]-Table1[[#This Row],[Negotiated_Price]]</f>
        <v>5.6000000000000014</v>
      </c>
      <c r="N210" s="3">
        <f>(Table1[[#This Row],[Unit_Price]]-Table1[[#This Row],[Negotiated_Price]])/Table1[[#This Row],[Unit_Price]]</f>
        <v>0.14384793218597486</v>
      </c>
      <c r="O210">
        <v>152</v>
      </c>
      <c r="P210" t="s">
        <v>15</v>
      </c>
      <c r="Q210">
        <f>IF(Table1[[#This Row],[Compliance]]="Yes", 1, 0)</f>
        <v>1</v>
      </c>
    </row>
    <row r="211" spans="1:17" x14ac:dyDescent="0.35">
      <c r="A211" t="s">
        <v>236</v>
      </c>
      <c r="B211" t="s">
        <v>23</v>
      </c>
      <c r="C211" s="1">
        <v>44767</v>
      </c>
      <c r="D211" s="1">
        <v>44774</v>
      </c>
      <c r="E211" s="1">
        <f>SUM(Table1[[#This Row],[Delivery_Date]]-Table1[[#This Row],[Order_Date]])</f>
        <v>7</v>
      </c>
      <c r="F211" t="s">
        <v>21</v>
      </c>
      <c r="G211" t="s">
        <v>18</v>
      </c>
      <c r="H211">
        <v>574</v>
      </c>
      <c r="I211" s="4">
        <v>85.03</v>
      </c>
      <c r="J211" s="4">
        <v>82.55</v>
      </c>
      <c r="K211" s="4">
        <f>Table1[[#This Row],[Quantity]]*Table1[[#This Row],[Negotiated_Price]]</f>
        <v>47383.7</v>
      </c>
      <c r="L211" s="4">
        <f>Table1[[#This Row],[Quantity]]*Table1[[#This Row],[Unit_Price]]</f>
        <v>48807.22</v>
      </c>
      <c r="M211" s="4">
        <f>Table1[[#This Row],[Unit_Price]]-Table1[[#This Row],[Negotiated_Price]]</f>
        <v>2.480000000000004</v>
      </c>
      <c r="N211" s="3">
        <f>(Table1[[#This Row],[Unit_Price]]-Table1[[#This Row],[Negotiated_Price]])/Table1[[#This Row],[Unit_Price]]</f>
        <v>2.9166176643537621E-2</v>
      </c>
      <c r="O211">
        <v>54</v>
      </c>
      <c r="P211" t="s">
        <v>15</v>
      </c>
      <c r="Q211">
        <f>IF(Table1[[#This Row],[Compliance]]="Yes", 1, 0)</f>
        <v>1</v>
      </c>
    </row>
    <row r="212" spans="1:17" hidden="1" x14ac:dyDescent="0.35">
      <c r="A212" t="s">
        <v>237</v>
      </c>
      <c r="B212" t="s">
        <v>20</v>
      </c>
      <c r="C212" s="1">
        <v>45292</v>
      </c>
      <c r="E212" s="1">
        <f>SUM(Table1[[#This Row],[Delivery_Date]]-Table1[[#This Row],[Order_Date]])</f>
        <v>-45292</v>
      </c>
      <c r="F212" t="s">
        <v>13</v>
      </c>
      <c r="G212" t="s">
        <v>18</v>
      </c>
      <c r="H212">
        <v>1233</v>
      </c>
      <c r="I212">
        <v>86.62</v>
      </c>
      <c r="J212">
        <v>76.59</v>
      </c>
      <c r="K212">
        <f>Table1[[#This Row],[Quantity]]*Table1[[#This Row],[Negotiated_Price]]</f>
        <v>94435.47</v>
      </c>
      <c r="L212" s="5">
        <f>Table1[[#This Row],[Quantity]]*Table1[[#This Row],[Unit_Price]]</f>
        <v>106802.46</v>
      </c>
      <c r="M212">
        <f>Table1[[#This Row],[Unit_Price]]-Table1[[#This Row],[Negotiated_Price]]</f>
        <v>10.030000000000001</v>
      </c>
      <c r="N212" s="2">
        <f>(Table1[[#This Row],[Unit_Price]]-Table1[[#This Row],[Negotiated_Price]])/Table1[[#This Row],[Unit_Price]]</f>
        <v>0.11579311937196952</v>
      </c>
      <c r="O212">
        <v>65</v>
      </c>
      <c r="P212" t="s">
        <v>15</v>
      </c>
      <c r="Q212">
        <f>IF(Table1[[#This Row],[Compliance]]="Yes", 1, 0)</f>
        <v>1</v>
      </c>
    </row>
    <row r="213" spans="1:17" x14ac:dyDescent="0.35">
      <c r="A213" t="s">
        <v>238</v>
      </c>
      <c r="B213" t="s">
        <v>20</v>
      </c>
      <c r="C213" s="1">
        <v>44881</v>
      </c>
      <c r="D213" s="1">
        <v>44885</v>
      </c>
      <c r="E213" s="1">
        <f>SUM(Table1[[#This Row],[Delivery_Date]]-Table1[[#This Row],[Order_Date]])</f>
        <v>4</v>
      </c>
      <c r="F213" t="s">
        <v>24</v>
      </c>
      <c r="G213" t="s">
        <v>18</v>
      </c>
      <c r="H213">
        <v>1912</v>
      </c>
      <c r="I213" s="4">
        <v>27.94</v>
      </c>
      <c r="J213" s="4">
        <v>25.59</v>
      </c>
      <c r="K213" s="4">
        <f>Table1[[#This Row],[Quantity]]*Table1[[#This Row],[Negotiated_Price]]</f>
        <v>48928.08</v>
      </c>
      <c r="L213" s="4">
        <f>Table1[[#This Row],[Quantity]]*Table1[[#This Row],[Unit_Price]]</f>
        <v>53421.279999999999</v>
      </c>
      <c r="M213" s="4">
        <f>Table1[[#This Row],[Unit_Price]]-Table1[[#This Row],[Negotiated_Price]]</f>
        <v>2.3500000000000014</v>
      </c>
      <c r="N213" s="3">
        <f>(Table1[[#This Row],[Unit_Price]]-Table1[[#This Row],[Negotiated_Price]])/Table1[[#This Row],[Unit_Price]]</f>
        <v>8.4108804581245575E-2</v>
      </c>
      <c r="O213">
        <v>83</v>
      </c>
      <c r="P213" t="s">
        <v>27</v>
      </c>
      <c r="Q213">
        <f>IF(Table1[[#This Row],[Compliance]]="Yes", 1, 0)</f>
        <v>0</v>
      </c>
    </row>
    <row r="214" spans="1:17" x14ac:dyDescent="0.35">
      <c r="A214" t="s">
        <v>239</v>
      </c>
      <c r="B214" t="s">
        <v>12</v>
      </c>
      <c r="C214" s="1">
        <v>44970</v>
      </c>
      <c r="D214" s="1">
        <v>44989</v>
      </c>
      <c r="E214" s="1">
        <f>SUM(Table1[[#This Row],[Delivery_Date]]-Table1[[#This Row],[Order_Date]])</f>
        <v>19</v>
      </c>
      <c r="F214" t="s">
        <v>24</v>
      </c>
      <c r="G214" t="s">
        <v>18</v>
      </c>
      <c r="H214">
        <v>1772</v>
      </c>
      <c r="I214" s="4">
        <v>30.72</v>
      </c>
      <c r="J214" s="4">
        <v>27.76</v>
      </c>
      <c r="K214" s="4">
        <f>Table1[[#This Row],[Quantity]]*Table1[[#This Row],[Negotiated_Price]]</f>
        <v>49190.720000000001</v>
      </c>
      <c r="L214" s="4">
        <f>Table1[[#This Row],[Quantity]]*Table1[[#This Row],[Unit_Price]]</f>
        <v>54435.839999999997</v>
      </c>
      <c r="M214" s="4">
        <f>Table1[[#This Row],[Unit_Price]]-Table1[[#This Row],[Negotiated_Price]]</f>
        <v>2.9599999999999973</v>
      </c>
      <c r="N214" s="3">
        <f>(Table1[[#This Row],[Unit_Price]]-Table1[[#This Row],[Negotiated_Price]])/Table1[[#This Row],[Unit_Price]]</f>
        <v>9.6354166666666588E-2</v>
      </c>
      <c r="O214">
        <v>46</v>
      </c>
      <c r="P214" t="s">
        <v>27</v>
      </c>
      <c r="Q214">
        <f>IF(Table1[[#This Row],[Compliance]]="Yes", 1, 0)</f>
        <v>0</v>
      </c>
    </row>
    <row r="215" spans="1:17" x14ac:dyDescent="0.35">
      <c r="A215" t="s">
        <v>240</v>
      </c>
      <c r="B215" t="s">
        <v>23</v>
      </c>
      <c r="C215" s="1">
        <v>45249</v>
      </c>
      <c r="D215" s="1">
        <v>45259</v>
      </c>
      <c r="E215" s="1">
        <f>SUM(Table1[[#This Row],[Delivery_Date]]-Table1[[#This Row],[Order_Date]])</f>
        <v>10</v>
      </c>
      <c r="F215" t="s">
        <v>13</v>
      </c>
      <c r="G215" t="s">
        <v>18</v>
      </c>
      <c r="H215">
        <v>1316</v>
      </c>
      <c r="I215" s="4">
        <v>48.11</v>
      </c>
      <c r="J215" s="4">
        <v>41.9</v>
      </c>
      <c r="K215" s="4">
        <f>Table1[[#This Row],[Quantity]]*Table1[[#This Row],[Negotiated_Price]]</f>
        <v>55140.4</v>
      </c>
      <c r="L215" s="4">
        <f>Table1[[#This Row],[Quantity]]*Table1[[#This Row],[Unit_Price]]</f>
        <v>63312.76</v>
      </c>
      <c r="M215" s="4">
        <f>Table1[[#This Row],[Unit_Price]]-Table1[[#This Row],[Negotiated_Price]]</f>
        <v>6.2100000000000009</v>
      </c>
      <c r="N215" s="3">
        <f>(Table1[[#This Row],[Unit_Price]]-Table1[[#This Row],[Negotiated_Price]])/Table1[[#This Row],[Unit_Price]]</f>
        <v>0.1290791935148618</v>
      </c>
      <c r="O215">
        <v>135</v>
      </c>
      <c r="P215" t="s">
        <v>15</v>
      </c>
      <c r="Q215">
        <f>IF(Table1[[#This Row],[Compliance]]="Yes", 1, 0)</f>
        <v>1</v>
      </c>
    </row>
    <row r="216" spans="1:17" hidden="1" x14ac:dyDescent="0.35">
      <c r="A216" t="s">
        <v>241</v>
      </c>
      <c r="B216" t="s">
        <v>23</v>
      </c>
      <c r="C216" s="1">
        <v>45227</v>
      </c>
      <c r="E216" s="1">
        <f>SUM(Table1[[#This Row],[Delivery_Date]]-Table1[[#This Row],[Order_Date]])</f>
        <v>-45227</v>
      </c>
      <c r="F216" t="s">
        <v>13</v>
      </c>
      <c r="G216" t="s">
        <v>18</v>
      </c>
      <c r="H216">
        <v>1159</v>
      </c>
      <c r="I216">
        <v>59.24</v>
      </c>
      <c r="J216">
        <v>58.08</v>
      </c>
      <c r="K216">
        <f>Table1[[#This Row],[Quantity]]*Table1[[#This Row],[Negotiated_Price]]</f>
        <v>67314.720000000001</v>
      </c>
      <c r="L216" s="5">
        <f>Table1[[#This Row],[Quantity]]*Table1[[#This Row],[Unit_Price]]</f>
        <v>68659.16</v>
      </c>
      <c r="M216">
        <f>Table1[[#This Row],[Unit_Price]]-Table1[[#This Row],[Negotiated_Price]]</f>
        <v>1.1600000000000037</v>
      </c>
      <c r="N216" s="2">
        <f>(Table1[[#This Row],[Unit_Price]]-Table1[[#This Row],[Negotiated_Price]])/Table1[[#This Row],[Unit_Price]]</f>
        <v>1.9581363943281627E-2</v>
      </c>
      <c r="P216" t="s">
        <v>15</v>
      </c>
      <c r="Q216">
        <f>IF(Table1[[#This Row],[Compliance]]="Yes", 1, 0)</f>
        <v>1</v>
      </c>
    </row>
    <row r="217" spans="1:17" x14ac:dyDescent="0.35">
      <c r="A217" t="s">
        <v>242</v>
      </c>
      <c r="B217" t="s">
        <v>12</v>
      </c>
      <c r="C217" s="1">
        <v>44944</v>
      </c>
      <c r="D217" s="1">
        <v>44957</v>
      </c>
      <c r="E217" s="1">
        <f>SUM(Table1[[#This Row],[Delivery_Date]]-Table1[[#This Row],[Order_Date]])</f>
        <v>13</v>
      </c>
      <c r="F217" t="s">
        <v>13</v>
      </c>
      <c r="G217" t="s">
        <v>18</v>
      </c>
      <c r="H217">
        <v>1869</v>
      </c>
      <c r="I217" s="4">
        <v>69.58</v>
      </c>
      <c r="J217" s="4">
        <v>67.5</v>
      </c>
      <c r="K217" s="4">
        <f>Table1[[#This Row],[Quantity]]*Table1[[#This Row],[Negotiated_Price]]</f>
        <v>126157.5</v>
      </c>
      <c r="L217" s="4">
        <f>Table1[[#This Row],[Quantity]]*Table1[[#This Row],[Unit_Price]]</f>
        <v>130045.02</v>
      </c>
      <c r="M217" s="4">
        <f>Table1[[#This Row],[Unit_Price]]-Table1[[#This Row],[Negotiated_Price]]</f>
        <v>2.0799999999999983</v>
      </c>
      <c r="N217" s="3">
        <f>(Table1[[#This Row],[Unit_Price]]-Table1[[#This Row],[Negotiated_Price]])/Table1[[#This Row],[Unit_Price]]</f>
        <v>2.9893647599885002E-2</v>
      </c>
      <c r="O217">
        <v>31</v>
      </c>
      <c r="P217" t="s">
        <v>15</v>
      </c>
      <c r="Q217">
        <f>IF(Table1[[#This Row],[Compliance]]="Yes", 1, 0)</f>
        <v>1</v>
      </c>
    </row>
    <row r="218" spans="1:17" x14ac:dyDescent="0.35">
      <c r="A218" t="s">
        <v>243</v>
      </c>
      <c r="B218" t="s">
        <v>17</v>
      </c>
      <c r="C218" s="1">
        <v>45010</v>
      </c>
      <c r="D218" s="1">
        <v>45029</v>
      </c>
      <c r="E218" s="1">
        <f>SUM(Table1[[#This Row],[Delivery_Date]]-Table1[[#This Row],[Order_Date]])</f>
        <v>19</v>
      </c>
      <c r="F218" t="s">
        <v>24</v>
      </c>
      <c r="G218" t="s">
        <v>18</v>
      </c>
      <c r="H218">
        <v>627</v>
      </c>
      <c r="I218" s="4">
        <v>46.23</v>
      </c>
      <c r="J218" s="4">
        <v>42.87</v>
      </c>
      <c r="K218" s="4">
        <f>Table1[[#This Row],[Quantity]]*Table1[[#This Row],[Negotiated_Price]]</f>
        <v>26879.489999999998</v>
      </c>
      <c r="L218" s="4">
        <f>Table1[[#This Row],[Quantity]]*Table1[[#This Row],[Unit_Price]]</f>
        <v>28986.21</v>
      </c>
      <c r="M218" s="4">
        <f>Table1[[#This Row],[Unit_Price]]-Table1[[#This Row],[Negotiated_Price]]</f>
        <v>3.3599999999999994</v>
      </c>
      <c r="N218" s="3">
        <f>(Table1[[#This Row],[Unit_Price]]-Table1[[#This Row],[Negotiated_Price]])/Table1[[#This Row],[Unit_Price]]</f>
        <v>7.2680077871511997E-2</v>
      </c>
      <c r="P218" t="s">
        <v>15</v>
      </c>
      <c r="Q218">
        <f>IF(Table1[[#This Row],[Compliance]]="Yes", 1, 0)</f>
        <v>1</v>
      </c>
    </row>
    <row r="219" spans="1:17" x14ac:dyDescent="0.35">
      <c r="A219" t="s">
        <v>244</v>
      </c>
      <c r="B219" t="s">
        <v>23</v>
      </c>
      <c r="C219" s="1">
        <v>45091</v>
      </c>
      <c r="D219" s="1">
        <v>45093</v>
      </c>
      <c r="E219" s="1">
        <f>SUM(Table1[[#This Row],[Delivery_Date]]-Table1[[#This Row],[Order_Date]])</f>
        <v>2</v>
      </c>
      <c r="F219" t="s">
        <v>26</v>
      </c>
      <c r="G219" t="s">
        <v>35</v>
      </c>
      <c r="H219">
        <v>731</v>
      </c>
      <c r="I219" s="4">
        <v>56.02</v>
      </c>
      <c r="J219" s="4">
        <v>54.78</v>
      </c>
      <c r="K219" s="4">
        <f>Table1[[#This Row],[Quantity]]*Table1[[#This Row],[Negotiated_Price]]</f>
        <v>40044.18</v>
      </c>
      <c r="L219" s="4">
        <f>Table1[[#This Row],[Quantity]]*Table1[[#This Row],[Unit_Price]]</f>
        <v>40950.620000000003</v>
      </c>
      <c r="M219" s="4">
        <f>Table1[[#This Row],[Unit_Price]]-Table1[[#This Row],[Negotiated_Price]]</f>
        <v>1.240000000000002</v>
      </c>
      <c r="N219" s="3">
        <f>(Table1[[#This Row],[Unit_Price]]-Table1[[#This Row],[Negotiated_Price]])/Table1[[#This Row],[Unit_Price]]</f>
        <v>2.2134951802927561E-2</v>
      </c>
      <c r="O219">
        <v>70</v>
      </c>
      <c r="P219" t="s">
        <v>27</v>
      </c>
      <c r="Q219">
        <f>IF(Table1[[#This Row],[Compliance]]="Yes", 1, 0)</f>
        <v>0</v>
      </c>
    </row>
    <row r="220" spans="1:17" hidden="1" x14ac:dyDescent="0.35">
      <c r="A220" t="s">
        <v>245</v>
      </c>
      <c r="B220" t="s">
        <v>29</v>
      </c>
      <c r="C220" s="1">
        <v>45024</v>
      </c>
      <c r="E220" s="1">
        <f>SUM(Table1[[#This Row],[Delivery_Date]]-Table1[[#This Row],[Order_Date]])</f>
        <v>-45024</v>
      </c>
      <c r="F220" t="s">
        <v>13</v>
      </c>
      <c r="G220" t="s">
        <v>14</v>
      </c>
      <c r="H220">
        <v>606</v>
      </c>
      <c r="I220">
        <v>83.07</v>
      </c>
      <c r="J220">
        <v>79.22</v>
      </c>
      <c r="K220">
        <f>Table1[[#This Row],[Quantity]]*Table1[[#This Row],[Negotiated_Price]]</f>
        <v>48007.32</v>
      </c>
      <c r="L220" s="5">
        <f>Table1[[#This Row],[Quantity]]*Table1[[#This Row],[Unit_Price]]</f>
        <v>50340.42</v>
      </c>
      <c r="M220">
        <f>Table1[[#This Row],[Unit_Price]]-Table1[[#This Row],[Negotiated_Price]]</f>
        <v>3.8499999999999943</v>
      </c>
      <c r="N220" s="2">
        <f>(Table1[[#This Row],[Unit_Price]]-Table1[[#This Row],[Negotiated_Price]])/Table1[[#This Row],[Unit_Price]]</f>
        <v>4.6346454797158959E-2</v>
      </c>
      <c r="O220">
        <v>16</v>
      </c>
      <c r="P220" t="s">
        <v>15</v>
      </c>
      <c r="Q220">
        <f>IF(Table1[[#This Row],[Compliance]]="Yes", 1, 0)</f>
        <v>1</v>
      </c>
    </row>
    <row r="221" spans="1:17" x14ac:dyDescent="0.35">
      <c r="A221" t="s">
        <v>246</v>
      </c>
      <c r="B221" t="s">
        <v>23</v>
      </c>
      <c r="C221" s="1">
        <v>44685</v>
      </c>
      <c r="D221" s="1">
        <v>44695</v>
      </c>
      <c r="E221" s="1">
        <f>SUM(Table1[[#This Row],[Delivery_Date]]-Table1[[#This Row],[Order_Date]])</f>
        <v>10</v>
      </c>
      <c r="F221" t="s">
        <v>13</v>
      </c>
      <c r="G221" t="s">
        <v>18</v>
      </c>
      <c r="H221">
        <v>1647</v>
      </c>
      <c r="I221" s="4">
        <v>13.57</v>
      </c>
      <c r="J221" s="4">
        <v>12.33</v>
      </c>
      <c r="K221" s="4">
        <f>Table1[[#This Row],[Quantity]]*Table1[[#This Row],[Negotiated_Price]]</f>
        <v>20307.509999999998</v>
      </c>
      <c r="L221" s="4">
        <f>Table1[[#This Row],[Quantity]]*Table1[[#This Row],[Unit_Price]]</f>
        <v>22349.79</v>
      </c>
      <c r="M221" s="4">
        <f>Table1[[#This Row],[Unit_Price]]-Table1[[#This Row],[Negotiated_Price]]</f>
        <v>1.2400000000000002</v>
      </c>
      <c r="N221" s="3">
        <f>(Table1[[#This Row],[Unit_Price]]-Table1[[#This Row],[Negotiated_Price]])/Table1[[#This Row],[Unit_Price]]</f>
        <v>9.1378039793662505E-2</v>
      </c>
      <c r="O221">
        <v>157</v>
      </c>
      <c r="P221" t="s">
        <v>15</v>
      </c>
      <c r="Q221">
        <f>IF(Table1[[#This Row],[Compliance]]="Yes", 1, 0)</f>
        <v>1</v>
      </c>
    </row>
    <row r="222" spans="1:17" x14ac:dyDescent="0.35">
      <c r="A222" t="s">
        <v>247</v>
      </c>
      <c r="B222" t="s">
        <v>17</v>
      </c>
      <c r="C222" s="1">
        <v>44815</v>
      </c>
      <c r="D222" s="1">
        <v>44823</v>
      </c>
      <c r="E222" s="1">
        <f>SUM(Table1[[#This Row],[Delivery_Date]]-Table1[[#This Row],[Order_Date]])</f>
        <v>8</v>
      </c>
      <c r="F222" t="s">
        <v>21</v>
      </c>
      <c r="G222" t="s">
        <v>18</v>
      </c>
      <c r="H222">
        <v>1062</v>
      </c>
      <c r="I222" s="4">
        <v>34.03</v>
      </c>
      <c r="J222" s="4">
        <v>30.46</v>
      </c>
      <c r="K222" s="4">
        <f>Table1[[#This Row],[Quantity]]*Table1[[#This Row],[Negotiated_Price]]</f>
        <v>32348.52</v>
      </c>
      <c r="L222" s="4">
        <f>Table1[[#This Row],[Quantity]]*Table1[[#This Row],[Unit_Price]]</f>
        <v>36139.86</v>
      </c>
      <c r="M222" s="4">
        <f>Table1[[#This Row],[Unit_Price]]-Table1[[#This Row],[Negotiated_Price]]</f>
        <v>3.5700000000000003</v>
      </c>
      <c r="N222" s="3">
        <f>(Table1[[#This Row],[Unit_Price]]-Table1[[#This Row],[Negotiated_Price]])/Table1[[#This Row],[Unit_Price]]</f>
        <v>0.10490743461651485</v>
      </c>
      <c r="P222" t="s">
        <v>15</v>
      </c>
      <c r="Q222">
        <f>IF(Table1[[#This Row],[Compliance]]="Yes", 1, 0)</f>
        <v>1</v>
      </c>
    </row>
    <row r="223" spans="1:17" x14ac:dyDescent="0.35">
      <c r="A223" t="s">
        <v>248</v>
      </c>
      <c r="B223" t="s">
        <v>23</v>
      </c>
      <c r="C223" s="1">
        <v>44792</v>
      </c>
      <c r="D223" s="1">
        <v>44804</v>
      </c>
      <c r="E223" s="1">
        <f>SUM(Table1[[#This Row],[Delivery_Date]]-Table1[[#This Row],[Order_Date]])</f>
        <v>12</v>
      </c>
      <c r="F223" t="s">
        <v>13</v>
      </c>
      <c r="G223" t="s">
        <v>18</v>
      </c>
      <c r="H223">
        <v>695</v>
      </c>
      <c r="I223" s="4">
        <v>76.8</v>
      </c>
      <c r="J223" s="4">
        <v>69.760000000000005</v>
      </c>
      <c r="K223" s="4">
        <f>Table1[[#This Row],[Quantity]]*Table1[[#This Row],[Negotiated_Price]]</f>
        <v>48483.200000000004</v>
      </c>
      <c r="L223" s="4">
        <f>Table1[[#This Row],[Quantity]]*Table1[[#This Row],[Unit_Price]]</f>
        <v>53376</v>
      </c>
      <c r="M223" s="4">
        <f>Table1[[#This Row],[Unit_Price]]-Table1[[#This Row],[Negotiated_Price]]</f>
        <v>7.039999999999992</v>
      </c>
      <c r="N223" s="3">
        <f>(Table1[[#This Row],[Unit_Price]]-Table1[[#This Row],[Negotiated_Price]])/Table1[[#This Row],[Unit_Price]]</f>
        <v>9.1666666666666563E-2</v>
      </c>
      <c r="P223" t="s">
        <v>27</v>
      </c>
      <c r="Q223">
        <f>IF(Table1[[#This Row],[Compliance]]="Yes", 1, 0)</f>
        <v>0</v>
      </c>
    </row>
    <row r="224" spans="1:17" x14ac:dyDescent="0.35">
      <c r="A224" t="s">
        <v>249</v>
      </c>
      <c r="B224" t="s">
        <v>29</v>
      </c>
      <c r="C224" s="1">
        <v>44627</v>
      </c>
      <c r="D224" s="1">
        <v>44634</v>
      </c>
      <c r="E224" s="1">
        <f>SUM(Table1[[#This Row],[Delivery_Date]]-Table1[[#This Row],[Order_Date]])</f>
        <v>7</v>
      </c>
      <c r="F224" t="s">
        <v>21</v>
      </c>
      <c r="G224" t="s">
        <v>18</v>
      </c>
      <c r="H224">
        <v>845</v>
      </c>
      <c r="I224" s="4">
        <v>91.47</v>
      </c>
      <c r="J224" s="4">
        <v>86.97</v>
      </c>
      <c r="K224" s="4">
        <f>Table1[[#This Row],[Quantity]]*Table1[[#This Row],[Negotiated_Price]]</f>
        <v>73489.649999999994</v>
      </c>
      <c r="L224" s="4">
        <f>Table1[[#This Row],[Quantity]]*Table1[[#This Row],[Unit_Price]]</f>
        <v>77292.149999999994</v>
      </c>
      <c r="M224" s="4">
        <f>Table1[[#This Row],[Unit_Price]]-Table1[[#This Row],[Negotiated_Price]]</f>
        <v>4.5</v>
      </c>
      <c r="N224" s="3">
        <f>(Table1[[#This Row],[Unit_Price]]-Table1[[#This Row],[Negotiated_Price]])/Table1[[#This Row],[Unit_Price]]</f>
        <v>4.9196457855034438E-2</v>
      </c>
      <c r="P224" t="s">
        <v>15</v>
      </c>
      <c r="Q224">
        <f>IF(Table1[[#This Row],[Compliance]]="Yes", 1, 0)</f>
        <v>1</v>
      </c>
    </row>
    <row r="225" spans="1:17" x14ac:dyDescent="0.35">
      <c r="A225" t="s">
        <v>250</v>
      </c>
      <c r="B225" t="s">
        <v>20</v>
      </c>
      <c r="C225" s="1">
        <v>44908</v>
      </c>
      <c r="D225" s="1">
        <v>44913</v>
      </c>
      <c r="E225" s="1">
        <f>SUM(Table1[[#This Row],[Delivery_Date]]-Table1[[#This Row],[Order_Date]])</f>
        <v>5</v>
      </c>
      <c r="F225" t="s">
        <v>21</v>
      </c>
      <c r="G225" t="s">
        <v>18</v>
      </c>
      <c r="H225">
        <v>1101</v>
      </c>
      <c r="I225" s="4">
        <v>59.13</v>
      </c>
      <c r="J225" s="4">
        <v>52.51</v>
      </c>
      <c r="K225" s="4">
        <f>Table1[[#This Row],[Quantity]]*Table1[[#This Row],[Negotiated_Price]]</f>
        <v>57813.509999999995</v>
      </c>
      <c r="L225" s="4">
        <f>Table1[[#This Row],[Quantity]]*Table1[[#This Row],[Unit_Price]]</f>
        <v>65102.130000000005</v>
      </c>
      <c r="M225" s="4">
        <f>Table1[[#This Row],[Unit_Price]]-Table1[[#This Row],[Negotiated_Price]]</f>
        <v>6.6200000000000045</v>
      </c>
      <c r="N225" s="3">
        <f>(Table1[[#This Row],[Unit_Price]]-Table1[[#This Row],[Negotiated_Price]])/Table1[[#This Row],[Unit_Price]]</f>
        <v>0.11195670556401158</v>
      </c>
      <c r="O225">
        <v>54</v>
      </c>
      <c r="P225" t="s">
        <v>15</v>
      </c>
      <c r="Q225">
        <f>IF(Table1[[#This Row],[Compliance]]="Yes", 1, 0)</f>
        <v>1</v>
      </c>
    </row>
    <row r="226" spans="1:17" x14ac:dyDescent="0.35">
      <c r="A226" t="s">
        <v>251</v>
      </c>
      <c r="B226" t="s">
        <v>20</v>
      </c>
      <c r="C226" s="1">
        <v>44583</v>
      </c>
      <c r="D226" s="1">
        <v>44585</v>
      </c>
      <c r="E226" s="1">
        <f>SUM(Table1[[#This Row],[Delivery_Date]]-Table1[[#This Row],[Order_Date]])</f>
        <v>2</v>
      </c>
      <c r="F226" t="s">
        <v>26</v>
      </c>
      <c r="G226" t="s">
        <v>18</v>
      </c>
      <c r="H226">
        <v>1693</v>
      </c>
      <c r="I226" s="4">
        <v>57.89</v>
      </c>
      <c r="J226" s="4">
        <v>49.84</v>
      </c>
      <c r="K226" s="4">
        <f>Table1[[#This Row],[Quantity]]*Table1[[#This Row],[Negotiated_Price]]</f>
        <v>84379.12000000001</v>
      </c>
      <c r="L226" s="4">
        <f>Table1[[#This Row],[Quantity]]*Table1[[#This Row],[Unit_Price]]</f>
        <v>98007.77</v>
      </c>
      <c r="M226" s="4">
        <f>Table1[[#This Row],[Unit_Price]]-Table1[[#This Row],[Negotiated_Price]]</f>
        <v>8.0499999999999972</v>
      </c>
      <c r="N226" s="3">
        <f>(Table1[[#This Row],[Unit_Price]]-Table1[[#This Row],[Negotiated_Price]])/Table1[[#This Row],[Unit_Price]]</f>
        <v>0.13905683192261181</v>
      </c>
      <c r="O226">
        <v>88</v>
      </c>
      <c r="P226" t="s">
        <v>15</v>
      </c>
      <c r="Q226">
        <f>IF(Table1[[#This Row],[Compliance]]="Yes", 1, 0)</f>
        <v>1</v>
      </c>
    </row>
    <row r="227" spans="1:17" x14ac:dyDescent="0.35">
      <c r="A227" t="s">
        <v>252</v>
      </c>
      <c r="B227" t="s">
        <v>17</v>
      </c>
      <c r="C227" s="1">
        <v>45164</v>
      </c>
      <c r="D227" s="1">
        <v>45179</v>
      </c>
      <c r="E227" s="1">
        <f>SUM(Table1[[#This Row],[Delivery_Date]]-Table1[[#This Row],[Order_Date]])</f>
        <v>15</v>
      </c>
      <c r="F227" t="s">
        <v>13</v>
      </c>
      <c r="G227" t="s">
        <v>14</v>
      </c>
      <c r="H227">
        <v>1629</v>
      </c>
      <c r="I227" s="4">
        <v>21.51</v>
      </c>
      <c r="J227" s="4">
        <v>19.41</v>
      </c>
      <c r="K227" s="4">
        <f>Table1[[#This Row],[Quantity]]*Table1[[#This Row],[Negotiated_Price]]</f>
        <v>31618.89</v>
      </c>
      <c r="L227" s="4">
        <f>Table1[[#This Row],[Quantity]]*Table1[[#This Row],[Unit_Price]]</f>
        <v>35039.79</v>
      </c>
      <c r="M227" s="4">
        <f>Table1[[#This Row],[Unit_Price]]-Table1[[#This Row],[Negotiated_Price]]</f>
        <v>2.1000000000000014</v>
      </c>
      <c r="N227" s="3">
        <f>(Table1[[#This Row],[Unit_Price]]-Table1[[#This Row],[Negotiated_Price]])/Table1[[#This Row],[Unit_Price]]</f>
        <v>9.7629009762901037E-2</v>
      </c>
      <c r="O227">
        <v>250</v>
      </c>
      <c r="P227" t="s">
        <v>27</v>
      </c>
      <c r="Q227">
        <f>IF(Table1[[#This Row],[Compliance]]="Yes", 1, 0)</f>
        <v>0</v>
      </c>
    </row>
    <row r="228" spans="1:17" x14ac:dyDescent="0.35">
      <c r="A228" t="s">
        <v>253</v>
      </c>
      <c r="B228" t="s">
        <v>17</v>
      </c>
      <c r="C228" s="1">
        <v>45129</v>
      </c>
      <c r="D228" s="1">
        <v>45141</v>
      </c>
      <c r="E228" s="1">
        <f>SUM(Table1[[#This Row],[Delivery_Date]]-Table1[[#This Row],[Order_Date]])</f>
        <v>12</v>
      </c>
      <c r="F228" t="s">
        <v>26</v>
      </c>
      <c r="G228" t="s">
        <v>18</v>
      </c>
      <c r="H228">
        <v>1413</v>
      </c>
      <c r="I228" s="4">
        <v>54.79</v>
      </c>
      <c r="J228" s="4">
        <v>50.42</v>
      </c>
      <c r="K228" s="4">
        <f>Table1[[#This Row],[Quantity]]*Table1[[#This Row],[Negotiated_Price]]</f>
        <v>71243.460000000006</v>
      </c>
      <c r="L228" s="4">
        <f>Table1[[#This Row],[Quantity]]*Table1[[#This Row],[Unit_Price]]</f>
        <v>77418.27</v>
      </c>
      <c r="M228" s="4">
        <f>Table1[[#This Row],[Unit_Price]]-Table1[[#This Row],[Negotiated_Price]]</f>
        <v>4.3699999999999974</v>
      </c>
      <c r="N228" s="3">
        <f>(Table1[[#This Row],[Unit_Price]]-Table1[[#This Row],[Negotiated_Price]])/Table1[[#This Row],[Unit_Price]]</f>
        <v>7.975908012411019E-2</v>
      </c>
      <c r="P228" t="s">
        <v>15</v>
      </c>
      <c r="Q228">
        <f>IF(Table1[[#This Row],[Compliance]]="Yes", 1, 0)</f>
        <v>1</v>
      </c>
    </row>
    <row r="229" spans="1:17" x14ac:dyDescent="0.35">
      <c r="A229" t="s">
        <v>254</v>
      </c>
      <c r="B229" t="s">
        <v>29</v>
      </c>
      <c r="C229" s="1">
        <v>44797</v>
      </c>
      <c r="D229" s="1">
        <v>44800</v>
      </c>
      <c r="E229" s="1">
        <f>SUM(Table1[[#This Row],[Delivery_Date]]-Table1[[#This Row],[Order_Date]])</f>
        <v>3</v>
      </c>
      <c r="F229" t="s">
        <v>24</v>
      </c>
      <c r="G229" t="s">
        <v>18</v>
      </c>
      <c r="H229">
        <v>1871</v>
      </c>
      <c r="I229" s="4">
        <v>59.96</v>
      </c>
      <c r="J229" s="4">
        <v>58.54</v>
      </c>
      <c r="K229" s="4">
        <f>Table1[[#This Row],[Quantity]]*Table1[[#This Row],[Negotiated_Price]]</f>
        <v>109528.34</v>
      </c>
      <c r="L229" s="4">
        <f>Table1[[#This Row],[Quantity]]*Table1[[#This Row],[Unit_Price]]</f>
        <v>112185.16</v>
      </c>
      <c r="M229" s="4">
        <f>Table1[[#This Row],[Unit_Price]]-Table1[[#This Row],[Negotiated_Price]]</f>
        <v>1.4200000000000017</v>
      </c>
      <c r="N229" s="3">
        <f>(Table1[[#This Row],[Unit_Price]]-Table1[[#This Row],[Negotiated_Price]])/Table1[[#This Row],[Unit_Price]]</f>
        <v>2.3682454969980015E-2</v>
      </c>
      <c r="O229">
        <v>47</v>
      </c>
      <c r="P229" t="s">
        <v>15</v>
      </c>
      <c r="Q229">
        <f>IF(Table1[[#This Row],[Compliance]]="Yes", 1, 0)</f>
        <v>1</v>
      </c>
    </row>
    <row r="230" spans="1:17" hidden="1" x14ac:dyDescent="0.35">
      <c r="A230" t="s">
        <v>255</v>
      </c>
      <c r="B230" t="s">
        <v>20</v>
      </c>
      <c r="C230" s="1">
        <v>45164</v>
      </c>
      <c r="E230" s="1">
        <f>SUM(Table1[[#This Row],[Delivery_Date]]-Table1[[#This Row],[Order_Date]])</f>
        <v>-45164</v>
      </c>
      <c r="F230" t="s">
        <v>26</v>
      </c>
      <c r="G230" t="s">
        <v>18</v>
      </c>
      <c r="H230">
        <v>1404</v>
      </c>
      <c r="I230">
        <v>34.85</v>
      </c>
      <c r="J230">
        <v>30.5</v>
      </c>
      <c r="K230">
        <f>Table1[[#This Row],[Quantity]]*Table1[[#This Row],[Negotiated_Price]]</f>
        <v>42822</v>
      </c>
      <c r="L230" s="5">
        <f>Table1[[#This Row],[Quantity]]*Table1[[#This Row],[Unit_Price]]</f>
        <v>48929.4</v>
      </c>
      <c r="M230">
        <f>Table1[[#This Row],[Unit_Price]]-Table1[[#This Row],[Negotiated_Price]]</f>
        <v>4.3500000000000014</v>
      </c>
      <c r="N230" s="2">
        <f>(Table1[[#This Row],[Unit_Price]]-Table1[[#This Row],[Negotiated_Price]])/Table1[[#This Row],[Unit_Price]]</f>
        <v>0.12482065997130563</v>
      </c>
      <c r="O230">
        <v>78</v>
      </c>
      <c r="P230" t="s">
        <v>15</v>
      </c>
      <c r="Q230">
        <f>IF(Table1[[#This Row],[Compliance]]="Yes", 1, 0)</f>
        <v>1</v>
      </c>
    </row>
    <row r="231" spans="1:17" x14ac:dyDescent="0.35">
      <c r="A231" t="s">
        <v>256</v>
      </c>
      <c r="B231" t="s">
        <v>20</v>
      </c>
      <c r="C231" s="1">
        <v>44787</v>
      </c>
      <c r="D231" s="1">
        <v>44801</v>
      </c>
      <c r="E231" s="1">
        <f>SUM(Table1[[#This Row],[Delivery_Date]]-Table1[[#This Row],[Order_Date]])</f>
        <v>14</v>
      </c>
      <c r="F231" t="s">
        <v>39</v>
      </c>
      <c r="G231" t="s">
        <v>18</v>
      </c>
      <c r="H231">
        <v>1713</v>
      </c>
      <c r="I231" s="4">
        <v>35.43</v>
      </c>
      <c r="J231" s="4">
        <v>34.11</v>
      </c>
      <c r="K231" s="4">
        <f>Table1[[#This Row],[Quantity]]*Table1[[#This Row],[Negotiated_Price]]</f>
        <v>58430.43</v>
      </c>
      <c r="L231" s="4">
        <f>Table1[[#This Row],[Quantity]]*Table1[[#This Row],[Unit_Price]]</f>
        <v>60691.59</v>
      </c>
      <c r="M231" s="4">
        <f>Table1[[#This Row],[Unit_Price]]-Table1[[#This Row],[Negotiated_Price]]</f>
        <v>1.3200000000000003</v>
      </c>
      <c r="N231" s="3">
        <f>(Table1[[#This Row],[Unit_Price]]-Table1[[#This Row],[Negotiated_Price]])/Table1[[#This Row],[Unit_Price]]</f>
        <v>3.7256562235393739E-2</v>
      </c>
      <c r="O231">
        <v>74</v>
      </c>
      <c r="P231" t="s">
        <v>15</v>
      </c>
      <c r="Q231">
        <f>IF(Table1[[#This Row],[Compliance]]="Yes", 1, 0)</f>
        <v>1</v>
      </c>
    </row>
    <row r="232" spans="1:17" x14ac:dyDescent="0.35">
      <c r="A232" t="s">
        <v>257</v>
      </c>
      <c r="B232" t="s">
        <v>20</v>
      </c>
      <c r="C232" s="1">
        <v>44569</v>
      </c>
      <c r="D232" s="1">
        <v>44574</v>
      </c>
      <c r="E232" s="1">
        <f>SUM(Table1[[#This Row],[Delivery_Date]]-Table1[[#This Row],[Order_Date]])</f>
        <v>5</v>
      </c>
      <c r="F232" t="s">
        <v>39</v>
      </c>
      <c r="G232" t="s">
        <v>18</v>
      </c>
      <c r="H232">
        <v>1579</v>
      </c>
      <c r="I232" s="4">
        <v>43.96</v>
      </c>
      <c r="J232" s="4">
        <v>43.41</v>
      </c>
      <c r="K232" s="4">
        <f>Table1[[#This Row],[Quantity]]*Table1[[#This Row],[Negotiated_Price]]</f>
        <v>68544.39</v>
      </c>
      <c r="L232" s="4">
        <f>Table1[[#This Row],[Quantity]]*Table1[[#This Row],[Unit_Price]]</f>
        <v>69412.84</v>
      </c>
      <c r="M232" s="4">
        <f>Table1[[#This Row],[Unit_Price]]-Table1[[#This Row],[Negotiated_Price]]</f>
        <v>0.55000000000000426</v>
      </c>
      <c r="N232" s="3">
        <f>(Table1[[#This Row],[Unit_Price]]-Table1[[#This Row],[Negotiated_Price]])/Table1[[#This Row],[Unit_Price]]</f>
        <v>1.2511373976342227E-2</v>
      </c>
      <c r="O232">
        <v>74</v>
      </c>
      <c r="P232" t="s">
        <v>15</v>
      </c>
      <c r="Q232">
        <f>IF(Table1[[#This Row],[Compliance]]="Yes", 1, 0)</f>
        <v>1</v>
      </c>
    </row>
    <row r="233" spans="1:17" x14ac:dyDescent="0.35">
      <c r="A233" t="s">
        <v>258</v>
      </c>
      <c r="B233" t="s">
        <v>20</v>
      </c>
      <c r="C233" s="1">
        <v>44634</v>
      </c>
      <c r="D233" s="1">
        <v>44646</v>
      </c>
      <c r="E233" s="1">
        <f>SUM(Table1[[#This Row],[Delivery_Date]]-Table1[[#This Row],[Order_Date]])</f>
        <v>12</v>
      </c>
      <c r="F233" t="s">
        <v>39</v>
      </c>
      <c r="G233" t="s">
        <v>18</v>
      </c>
      <c r="H233">
        <v>1421</v>
      </c>
      <c r="I233" s="4">
        <v>11.92</v>
      </c>
      <c r="J233" s="4">
        <v>11.72</v>
      </c>
      <c r="K233" s="4">
        <f>Table1[[#This Row],[Quantity]]*Table1[[#This Row],[Negotiated_Price]]</f>
        <v>16654.120000000003</v>
      </c>
      <c r="L233" s="4">
        <f>Table1[[#This Row],[Quantity]]*Table1[[#This Row],[Unit_Price]]</f>
        <v>16938.32</v>
      </c>
      <c r="M233" s="4">
        <f>Table1[[#This Row],[Unit_Price]]-Table1[[#This Row],[Negotiated_Price]]</f>
        <v>0.19999999999999929</v>
      </c>
      <c r="N233" s="3">
        <f>(Table1[[#This Row],[Unit_Price]]-Table1[[#This Row],[Negotiated_Price]])/Table1[[#This Row],[Unit_Price]]</f>
        <v>1.6778523489932827E-2</v>
      </c>
      <c r="O233">
        <v>76</v>
      </c>
      <c r="P233" t="s">
        <v>15</v>
      </c>
      <c r="Q233">
        <f>IF(Table1[[#This Row],[Compliance]]="Yes", 1, 0)</f>
        <v>1</v>
      </c>
    </row>
    <row r="234" spans="1:17" x14ac:dyDescent="0.35">
      <c r="A234" t="s">
        <v>259</v>
      </c>
      <c r="B234" t="s">
        <v>29</v>
      </c>
      <c r="C234" s="1">
        <v>45286</v>
      </c>
      <c r="D234" s="1">
        <v>45295</v>
      </c>
      <c r="E234" s="1">
        <f>SUM(Table1[[#This Row],[Delivery_Date]]-Table1[[#This Row],[Order_Date]])</f>
        <v>9</v>
      </c>
      <c r="F234" t="s">
        <v>21</v>
      </c>
      <c r="G234" t="s">
        <v>18</v>
      </c>
      <c r="H234">
        <v>1546</v>
      </c>
      <c r="I234" s="4">
        <v>43.47</v>
      </c>
      <c r="J234" s="4">
        <v>37.369999999999997</v>
      </c>
      <c r="K234" s="4">
        <f>Table1[[#This Row],[Quantity]]*Table1[[#This Row],[Negotiated_Price]]</f>
        <v>57774.02</v>
      </c>
      <c r="L234" s="4">
        <f>Table1[[#This Row],[Quantity]]*Table1[[#This Row],[Unit_Price]]</f>
        <v>67204.62</v>
      </c>
      <c r="M234" s="4">
        <f>Table1[[#This Row],[Unit_Price]]-Table1[[#This Row],[Negotiated_Price]]</f>
        <v>6.1000000000000014</v>
      </c>
      <c r="N234" s="3">
        <f>(Table1[[#This Row],[Unit_Price]]-Table1[[#This Row],[Negotiated_Price]])/Table1[[#This Row],[Unit_Price]]</f>
        <v>0.14032666206579253</v>
      </c>
      <c r="O234">
        <v>53</v>
      </c>
      <c r="P234" t="s">
        <v>15</v>
      </c>
      <c r="Q234">
        <f>IF(Table1[[#This Row],[Compliance]]="Yes", 1, 0)</f>
        <v>1</v>
      </c>
    </row>
    <row r="235" spans="1:17" x14ac:dyDescent="0.35">
      <c r="A235" t="s">
        <v>260</v>
      </c>
      <c r="B235" t="s">
        <v>17</v>
      </c>
      <c r="C235" s="1">
        <v>45208</v>
      </c>
      <c r="D235" s="1">
        <v>45217</v>
      </c>
      <c r="E235" s="1">
        <f>SUM(Table1[[#This Row],[Delivery_Date]]-Table1[[#This Row],[Order_Date]])</f>
        <v>9</v>
      </c>
      <c r="F235" t="s">
        <v>39</v>
      </c>
      <c r="G235" t="s">
        <v>18</v>
      </c>
      <c r="H235">
        <v>1304</v>
      </c>
      <c r="I235" s="4">
        <v>32.08</v>
      </c>
      <c r="J235" s="4">
        <v>29.36</v>
      </c>
      <c r="K235" s="4">
        <f>Table1[[#This Row],[Quantity]]*Table1[[#This Row],[Negotiated_Price]]</f>
        <v>38285.440000000002</v>
      </c>
      <c r="L235" s="4">
        <f>Table1[[#This Row],[Quantity]]*Table1[[#This Row],[Unit_Price]]</f>
        <v>41832.32</v>
      </c>
      <c r="M235" s="4">
        <f>Table1[[#This Row],[Unit_Price]]-Table1[[#This Row],[Negotiated_Price]]</f>
        <v>2.7199999999999989</v>
      </c>
      <c r="N235" s="3">
        <f>(Table1[[#This Row],[Unit_Price]]-Table1[[#This Row],[Negotiated_Price]])/Table1[[#This Row],[Unit_Price]]</f>
        <v>8.4788029925186997E-2</v>
      </c>
      <c r="P235" t="s">
        <v>15</v>
      </c>
      <c r="Q235">
        <f>IF(Table1[[#This Row],[Compliance]]="Yes", 1, 0)</f>
        <v>1</v>
      </c>
    </row>
    <row r="236" spans="1:17" hidden="1" x14ac:dyDescent="0.35">
      <c r="A236" t="s">
        <v>261</v>
      </c>
      <c r="B236" t="s">
        <v>17</v>
      </c>
      <c r="C236" s="1">
        <v>44622</v>
      </c>
      <c r="E236" s="1">
        <f>SUM(Table1[[#This Row],[Delivery_Date]]-Table1[[#This Row],[Order_Date]])</f>
        <v>-44622</v>
      </c>
      <c r="F236" t="s">
        <v>26</v>
      </c>
      <c r="G236" t="s">
        <v>18</v>
      </c>
      <c r="H236">
        <v>239</v>
      </c>
      <c r="I236">
        <v>39.869999999999997</v>
      </c>
      <c r="J236">
        <v>35.47</v>
      </c>
      <c r="K236">
        <f>Table1[[#This Row],[Quantity]]*Table1[[#This Row],[Negotiated_Price]]</f>
        <v>8477.33</v>
      </c>
      <c r="L236" s="5">
        <f>Table1[[#This Row],[Quantity]]*Table1[[#This Row],[Unit_Price]]</f>
        <v>9528.93</v>
      </c>
      <c r="M236">
        <f>Table1[[#This Row],[Unit_Price]]-Table1[[#This Row],[Negotiated_Price]]</f>
        <v>4.3999999999999986</v>
      </c>
      <c r="N236" s="2">
        <f>(Table1[[#This Row],[Unit_Price]]-Table1[[#This Row],[Negotiated_Price]])/Table1[[#This Row],[Unit_Price]]</f>
        <v>0.11035866566340605</v>
      </c>
      <c r="O236">
        <v>32</v>
      </c>
      <c r="P236" t="s">
        <v>15</v>
      </c>
      <c r="Q236">
        <f>IF(Table1[[#This Row],[Compliance]]="Yes", 1, 0)</f>
        <v>1</v>
      </c>
    </row>
    <row r="237" spans="1:17" hidden="1" x14ac:dyDescent="0.35">
      <c r="A237" t="s">
        <v>262</v>
      </c>
      <c r="B237" t="s">
        <v>12</v>
      </c>
      <c r="C237" s="1">
        <v>44796</v>
      </c>
      <c r="E237" s="1">
        <f>SUM(Table1[[#This Row],[Delivery_Date]]-Table1[[#This Row],[Order_Date]])</f>
        <v>-44796</v>
      </c>
      <c r="F237" t="s">
        <v>13</v>
      </c>
      <c r="G237" t="s">
        <v>18</v>
      </c>
      <c r="H237">
        <v>1298</v>
      </c>
      <c r="I237">
        <v>21.51</v>
      </c>
      <c r="J237">
        <v>20.83</v>
      </c>
      <c r="K237">
        <f>Table1[[#This Row],[Quantity]]*Table1[[#This Row],[Negotiated_Price]]</f>
        <v>27037.339999999997</v>
      </c>
      <c r="L237" s="5">
        <f>Table1[[#This Row],[Quantity]]*Table1[[#This Row],[Unit_Price]]</f>
        <v>27919.980000000003</v>
      </c>
      <c r="M237">
        <f>Table1[[#This Row],[Unit_Price]]-Table1[[#This Row],[Negotiated_Price]]</f>
        <v>0.68000000000000327</v>
      </c>
      <c r="N237" s="2">
        <f>(Table1[[#This Row],[Unit_Price]]-Table1[[#This Row],[Negotiated_Price]])/Table1[[#This Row],[Unit_Price]]</f>
        <v>3.1613203161320463E-2</v>
      </c>
      <c r="P237" t="s">
        <v>15</v>
      </c>
      <c r="Q237">
        <f>IF(Table1[[#This Row],[Compliance]]="Yes", 1, 0)</f>
        <v>1</v>
      </c>
    </row>
    <row r="238" spans="1:17" hidden="1" x14ac:dyDescent="0.35">
      <c r="A238" t="s">
        <v>263</v>
      </c>
      <c r="B238" t="s">
        <v>17</v>
      </c>
      <c r="C238" s="1">
        <v>44631</v>
      </c>
      <c r="E238" s="1">
        <f>SUM(Table1[[#This Row],[Delivery_Date]]-Table1[[#This Row],[Order_Date]])</f>
        <v>-44631</v>
      </c>
      <c r="F238" t="s">
        <v>21</v>
      </c>
      <c r="G238" t="s">
        <v>18</v>
      </c>
      <c r="H238">
        <v>1458</v>
      </c>
      <c r="I238">
        <v>91.05</v>
      </c>
      <c r="J238">
        <v>81.56</v>
      </c>
      <c r="K238">
        <f>Table1[[#This Row],[Quantity]]*Table1[[#This Row],[Negotiated_Price]]</f>
        <v>118914.48000000001</v>
      </c>
      <c r="L238" s="5">
        <f>Table1[[#This Row],[Quantity]]*Table1[[#This Row],[Unit_Price]]</f>
        <v>132750.9</v>
      </c>
      <c r="M238">
        <f>Table1[[#This Row],[Unit_Price]]-Table1[[#This Row],[Negotiated_Price]]</f>
        <v>9.4899999999999949</v>
      </c>
      <c r="N238" s="2">
        <f>(Table1[[#This Row],[Unit_Price]]-Table1[[#This Row],[Negotiated_Price]])/Table1[[#This Row],[Unit_Price]]</f>
        <v>0.10422844590884124</v>
      </c>
      <c r="O238">
        <v>220</v>
      </c>
      <c r="P238" t="s">
        <v>15</v>
      </c>
      <c r="Q238">
        <f>IF(Table1[[#This Row],[Compliance]]="Yes", 1, 0)</f>
        <v>1</v>
      </c>
    </row>
    <row r="239" spans="1:17" x14ac:dyDescent="0.35">
      <c r="A239" t="s">
        <v>264</v>
      </c>
      <c r="B239" t="s">
        <v>20</v>
      </c>
      <c r="C239" s="1">
        <v>44594</v>
      </c>
      <c r="D239" s="1">
        <v>44605</v>
      </c>
      <c r="E239" s="1">
        <f>SUM(Table1[[#This Row],[Delivery_Date]]-Table1[[#This Row],[Order_Date]])</f>
        <v>11</v>
      </c>
      <c r="F239" t="s">
        <v>21</v>
      </c>
      <c r="G239" t="s">
        <v>18</v>
      </c>
      <c r="H239">
        <v>1450</v>
      </c>
      <c r="I239" s="4">
        <v>63.74</v>
      </c>
      <c r="J239" s="4">
        <v>59.11</v>
      </c>
      <c r="K239" s="4">
        <f>Table1[[#This Row],[Quantity]]*Table1[[#This Row],[Negotiated_Price]]</f>
        <v>85709.5</v>
      </c>
      <c r="L239" s="4">
        <f>Table1[[#This Row],[Quantity]]*Table1[[#This Row],[Unit_Price]]</f>
        <v>92423</v>
      </c>
      <c r="M239" s="4">
        <f>Table1[[#This Row],[Unit_Price]]-Table1[[#This Row],[Negotiated_Price]]</f>
        <v>4.6300000000000026</v>
      </c>
      <c r="N239" s="3">
        <f>(Table1[[#This Row],[Unit_Price]]-Table1[[#This Row],[Negotiated_Price]])/Table1[[#This Row],[Unit_Price]]</f>
        <v>7.2638845309068126E-2</v>
      </c>
      <c r="O239">
        <v>71</v>
      </c>
      <c r="P239" t="s">
        <v>15</v>
      </c>
      <c r="Q239">
        <f>IF(Table1[[#This Row],[Compliance]]="Yes", 1, 0)</f>
        <v>1</v>
      </c>
    </row>
    <row r="240" spans="1:17" x14ac:dyDescent="0.35">
      <c r="A240" t="s">
        <v>265</v>
      </c>
      <c r="B240" t="s">
        <v>23</v>
      </c>
      <c r="C240" s="1">
        <v>44900</v>
      </c>
      <c r="D240" s="1">
        <v>44915</v>
      </c>
      <c r="E240" s="1">
        <f>SUM(Table1[[#This Row],[Delivery_Date]]-Table1[[#This Row],[Order_Date]])</f>
        <v>15</v>
      </c>
      <c r="F240" t="s">
        <v>39</v>
      </c>
      <c r="G240" t="s">
        <v>18</v>
      </c>
      <c r="H240">
        <v>1356</v>
      </c>
      <c r="I240" s="4">
        <v>75.03</v>
      </c>
      <c r="J240" s="4">
        <v>63.86</v>
      </c>
      <c r="K240" s="4">
        <f>Table1[[#This Row],[Quantity]]*Table1[[#This Row],[Negotiated_Price]]</f>
        <v>86594.16</v>
      </c>
      <c r="L240" s="4">
        <f>Table1[[#This Row],[Quantity]]*Table1[[#This Row],[Unit_Price]]</f>
        <v>101740.68000000001</v>
      </c>
      <c r="M240" s="4">
        <f>Table1[[#This Row],[Unit_Price]]-Table1[[#This Row],[Negotiated_Price]]</f>
        <v>11.170000000000002</v>
      </c>
      <c r="N240" s="3">
        <f>(Table1[[#This Row],[Unit_Price]]-Table1[[#This Row],[Negotiated_Price]])/Table1[[#This Row],[Unit_Price]]</f>
        <v>0.14887378381980543</v>
      </c>
      <c r="O240">
        <v>131</v>
      </c>
      <c r="P240" t="s">
        <v>15</v>
      </c>
      <c r="Q240">
        <f>IF(Table1[[#This Row],[Compliance]]="Yes", 1, 0)</f>
        <v>1</v>
      </c>
    </row>
    <row r="241" spans="1:17" hidden="1" x14ac:dyDescent="0.35">
      <c r="A241" t="s">
        <v>266</v>
      </c>
      <c r="B241" t="s">
        <v>20</v>
      </c>
      <c r="C241" s="1">
        <v>44634</v>
      </c>
      <c r="E241" s="1">
        <f>SUM(Table1[[#This Row],[Delivery_Date]]-Table1[[#This Row],[Order_Date]])</f>
        <v>-44634</v>
      </c>
      <c r="F241" t="s">
        <v>24</v>
      </c>
      <c r="G241" t="s">
        <v>18</v>
      </c>
      <c r="H241">
        <v>682</v>
      </c>
      <c r="I241">
        <v>81.84</v>
      </c>
      <c r="J241">
        <v>71.86</v>
      </c>
      <c r="K241">
        <f>Table1[[#This Row],[Quantity]]*Table1[[#This Row],[Negotiated_Price]]</f>
        <v>49008.52</v>
      </c>
      <c r="L241" s="5">
        <f>Table1[[#This Row],[Quantity]]*Table1[[#This Row],[Unit_Price]]</f>
        <v>55814.880000000005</v>
      </c>
      <c r="M241">
        <f>Table1[[#This Row],[Unit_Price]]-Table1[[#This Row],[Negotiated_Price]]</f>
        <v>9.980000000000004</v>
      </c>
      <c r="N241" s="2">
        <f>(Table1[[#This Row],[Unit_Price]]-Table1[[#This Row],[Negotiated_Price]])/Table1[[#This Row],[Unit_Price]]</f>
        <v>0.12194525904203328</v>
      </c>
      <c r="O241">
        <v>40</v>
      </c>
      <c r="P241" t="s">
        <v>15</v>
      </c>
      <c r="Q241">
        <f>IF(Table1[[#This Row],[Compliance]]="Yes", 1, 0)</f>
        <v>1</v>
      </c>
    </row>
    <row r="242" spans="1:17" x14ac:dyDescent="0.35">
      <c r="A242" t="s">
        <v>267</v>
      </c>
      <c r="B242" t="s">
        <v>20</v>
      </c>
      <c r="C242" s="1">
        <v>45088</v>
      </c>
      <c r="D242" s="1">
        <v>45096</v>
      </c>
      <c r="E242" s="1">
        <f>SUM(Table1[[#This Row],[Delivery_Date]]-Table1[[#This Row],[Order_Date]])</f>
        <v>8</v>
      </c>
      <c r="F242" t="s">
        <v>24</v>
      </c>
      <c r="G242" t="s">
        <v>18</v>
      </c>
      <c r="H242">
        <v>677</v>
      </c>
      <c r="I242" s="4">
        <v>59.52</v>
      </c>
      <c r="J242" s="4">
        <v>55.29</v>
      </c>
      <c r="K242" s="4">
        <f>Table1[[#This Row],[Quantity]]*Table1[[#This Row],[Negotiated_Price]]</f>
        <v>37431.33</v>
      </c>
      <c r="L242" s="4">
        <f>Table1[[#This Row],[Quantity]]*Table1[[#This Row],[Unit_Price]]</f>
        <v>40295.040000000001</v>
      </c>
      <c r="M242" s="4">
        <f>Table1[[#This Row],[Unit_Price]]-Table1[[#This Row],[Negotiated_Price]]</f>
        <v>4.230000000000004</v>
      </c>
      <c r="N242" s="3">
        <f>(Table1[[#This Row],[Unit_Price]]-Table1[[#This Row],[Negotiated_Price]])/Table1[[#This Row],[Unit_Price]]</f>
        <v>7.1068548387096836E-2</v>
      </c>
      <c r="O242">
        <v>39</v>
      </c>
      <c r="P242" t="s">
        <v>15</v>
      </c>
      <c r="Q242">
        <f>IF(Table1[[#This Row],[Compliance]]="Yes", 1, 0)</f>
        <v>1</v>
      </c>
    </row>
    <row r="243" spans="1:17" x14ac:dyDescent="0.35">
      <c r="A243" t="s">
        <v>268</v>
      </c>
      <c r="B243" t="s">
        <v>17</v>
      </c>
      <c r="C243" s="1">
        <v>44805</v>
      </c>
      <c r="D243" s="1">
        <v>44818</v>
      </c>
      <c r="E243" s="1">
        <f>SUM(Table1[[#This Row],[Delivery_Date]]-Table1[[#This Row],[Order_Date]])</f>
        <v>13</v>
      </c>
      <c r="F243" t="s">
        <v>13</v>
      </c>
      <c r="G243" t="s">
        <v>18</v>
      </c>
      <c r="H243">
        <v>1022</v>
      </c>
      <c r="I243" s="4">
        <v>18.54</v>
      </c>
      <c r="J243" s="4">
        <v>16.55</v>
      </c>
      <c r="K243" s="4">
        <f>Table1[[#This Row],[Quantity]]*Table1[[#This Row],[Negotiated_Price]]</f>
        <v>16914.100000000002</v>
      </c>
      <c r="L243" s="4">
        <f>Table1[[#This Row],[Quantity]]*Table1[[#This Row],[Unit_Price]]</f>
        <v>18947.879999999997</v>
      </c>
      <c r="M243" s="4">
        <f>Table1[[#This Row],[Unit_Price]]-Table1[[#This Row],[Negotiated_Price]]</f>
        <v>1.9899999999999984</v>
      </c>
      <c r="N243" s="3">
        <f>(Table1[[#This Row],[Unit_Price]]-Table1[[#This Row],[Negotiated_Price]])/Table1[[#This Row],[Unit_Price]]</f>
        <v>0.10733549083063638</v>
      </c>
      <c r="O243">
        <v>150</v>
      </c>
      <c r="P243" t="s">
        <v>15</v>
      </c>
      <c r="Q243">
        <f>IF(Table1[[#This Row],[Compliance]]="Yes", 1, 0)</f>
        <v>1</v>
      </c>
    </row>
    <row r="244" spans="1:17" hidden="1" x14ac:dyDescent="0.35">
      <c r="A244" t="s">
        <v>269</v>
      </c>
      <c r="B244" t="s">
        <v>12</v>
      </c>
      <c r="C244" s="1">
        <v>44847</v>
      </c>
      <c r="E244" s="1">
        <f>SUM(Table1[[#This Row],[Delivery_Date]]-Table1[[#This Row],[Order_Date]])</f>
        <v>-44847</v>
      </c>
      <c r="F244" t="s">
        <v>26</v>
      </c>
      <c r="G244" t="s">
        <v>18</v>
      </c>
      <c r="H244">
        <v>1818</v>
      </c>
      <c r="I244">
        <v>60.96</v>
      </c>
      <c r="J244">
        <v>57.13</v>
      </c>
      <c r="K244">
        <f>Table1[[#This Row],[Quantity]]*Table1[[#This Row],[Negotiated_Price]]</f>
        <v>103862.34000000001</v>
      </c>
      <c r="L244" s="5">
        <f>Table1[[#This Row],[Quantity]]*Table1[[#This Row],[Unit_Price]]</f>
        <v>110825.28</v>
      </c>
      <c r="M244">
        <f>Table1[[#This Row],[Unit_Price]]-Table1[[#This Row],[Negotiated_Price]]</f>
        <v>3.8299999999999983</v>
      </c>
      <c r="N244" s="2">
        <f>(Table1[[#This Row],[Unit_Price]]-Table1[[#This Row],[Negotiated_Price]])/Table1[[#This Row],[Unit_Price]]</f>
        <v>6.2828083989501279E-2</v>
      </c>
      <c r="O244">
        <v>41</v>
      </c>
      <c r="P244" t="s">
        <v>15</v>
      </c>
      <c r="Q244">
        <f>IF(Table1[[#This Row],[Compliance]]="Yes", 1, 0)</f>
        <v>1</v>
      </c>
    </row>
    <row r="245" spans="1:17" x14ac:dyDescent="0.35">
      <c r="A245" t="s">
        <v>270</v>
      </c>
      <c r="B245" t="s">
        <v>29</v>
      </c>
      <c r="C245" s="1">
        <v>45247</v>
      </c>
      <c r="D245" s="1">
        <v>45259</v>
      </c>
      <c r="E245" s="1">
        <f>SUM(Table1[[#This Row],[Delivery_Date]]-Table1[[#This Row],[Order_Date]])</f>
        <v>12</v>
      </c>
      <c r="F245" t="s">
        <v>39</v>
      </c>
      <c r="G245" t="s">
        <v>18</v>
      </c>
      <c r="H245">
        <v>1332</v>
      </c>
      <c r="I245" s="4">
        <v>69.73</v>
      </c>
      <c r="J245" s="4">
        <v>63.8</v>
      </c>
      <c r="K245" s="4">
        <f>Table1[[#This Row],[Quantity]]*Table1[[#This Row],[Negotiated_Price]]</f>
        <v>84981.599999999991</v>
      </c>
      <c r="L245" s="4">
        <f>Table1[[#This Row],[Quantity]]*Table1[[#This Row],[Unit_Price]]</f>
        <v>92880.36</v>
      </c>
      <c r="M245" s="4">
        <f>Table1[[#This Row],[Unit_Price]]-Table1[[#This Row],[Negotiated_Price]]</f>
        <v>5.9300000000000068</v>
      </c>
      <c r="N245" s="3">
        <f>(Table1[[#This Row],[Unit_Price]]-Table1[[#This Row],[Negotiated_Price]])/Table1[[#This Row],[Unit_Price]]</f>
        <v>8.5042306037573595E-2</v>
      </c>
      <c r="O245">
        <v>41</v>
      </c>
      <c r="P245" t="s">
        <v>15</v>
      </c>
      <c r="Q245">
        <f>IF(Table1[[#This Row],[Compliance]]="Yes", 1, 0)</f>
        <v>1</v>
      </c>
    </row>
    <row r="246" spans="1:17" x14ac:dyDescent="0.35">
      <c r="A246" t="s">
        <v>271</v>
      </c>
      <c r="B246" t="s">
        <v>23</v>
      </c>
      <c r="C246" s="1">
        <v>45059</v>
      </c>
      <c r="D246" s="1">
        <v>45072</v>
      </c>
      <c r="E246" s="1">
        <f>SUM(Table1[[#This Row],[Delivery_Date]]-Table1[[#This Row],[Order_Date]])</f>
        <v>13</v>
      </c>
      <c r="F246" t="s">
        <v>26</v>
      </c>
      <c r="G246" t="s">
        <v>18</v>
      </c>
      <c r="H246">
        <v>1432</v>
      </c>
      <c r="I246" s="4">
        <v>83.26</v>
      </c>
      <c r="J246" s="4">
        <v>77.67</v>
      </c>
      <c r="K246" s="4">
        <f>Table1[[#This Row],[Quantity]]*Table1[[#This Row],[Negotiated_Price]]</f>
        <v>111223.44</v>
      </c>
      <c r="L246" s="4">
        <f>Table1[[#This Row],[Quantity]]*Table1[[#This Row],[Unit_Price]]</f>
        <v>119228.32</v>
      </c>
      <c r="M246" s="4">
        <f>Table1[[#This Row],[Unit_Price]]-Table1[[#This Row],[Negotiated_Price]]</f>
        <v>5.5900000000000034</v>
      </c>
      <c r="N246" s="3">
        <f>(Table1[[#This Row],[Unit_Price]]-Table1[[#This Row],[Negotiated_Price]])/Table1[[#This Row],[Unit_Price]]</f>
        <v>6.7139082392505448E-2</v>
      </c>
      <c r="O246">
        <v>174</v>
      </c>
      <c r="P246" t="s">
        <v>15</v>
      </c>
      <c r="Q246">
        <f>IF(Table1[[#This Row],[Compliance]]="Yes", 1, 0)</f>
        <v>1</v>
      </c>
    </row>
    <row r="247" spans="1:17" x14ac:dyDescent="0.35">
      <c r="A247" t="s">
        <v>272</v>
      </c>
      <c r="B247" t="s">
        <v>23</v>
      </c>
      <c r="C247" s="1">
        <v>44781</v>
      </c>
      <c r="D247" s="1">
        <v>44799</v>
      </c>
      <c r="E247" s="1">
        <f>SUM(Table1[[#This Row],[Delivery_Date]]-Table1[[#This Row],[Order_Date]])</f>
        <v>18</v>
      </c>
      <c r="F247" t="s">
        <v>24</v>
      </c>
      <c r="G247" t="s">
        <v>35</v>
      </c>
      <c r="H247">
        <v>759</v>
      </c>
      <c r="I247" s="4">
        <v>50.56</v>
      </c>
      <c r="J247" s="4">
        <v>46.47</v>
      </c>
      <c r="K247" s="4">
        <f>Table1[[#This Row],[Quantity]]*Table1[[#This Row],[Negotiated_Price]]</f>
        <v>35270.729999999996</v>
      </c>
      <c r="L247" s="4">
        <f>Table1[[#This Row],[Quantity]]*Table1[[#This Row],[Unit_Price]]</f>
        <v>38375.040000000001</v>
      </c>
      <c r="M247" s="4">
        <f>Table1[[#This Row],[Unit_Price]]-Table1[[#This Row],[Negotiated_Price]]</f>
        <v>4.0900000000000034</v>
      </c>
      <c r="N247" s="3">
        <f>(Table1[[#This Row],[Unit_Price]]-Table1[[#This Row],[Negotiated_Price]])/Table1[[#This Row],[Unit_Price]]</f>
        <v>8.0893987341772222E-2</v>
      </c>
      <c r="O247">
        <v>63</v>
      </c>
      <c r="P247" t="s">
        <v>27</v>
      </c>
      <c r="Q247">
        <f>IF(Table1[[#This Row],[Compliance]]="Yes", 1, 0)</f>
        <v>0</v>
      </c>
    </row>
    <row r="248" spans="1:17" x14ac:dyDescent="0.35">
      <c r="A248" t="s">
        <v>273</v>
      </c>
      <c r="B248" t="s">
        <v>12</v>
      </c>
      <c r="C248" s="1">
        <v>45114</v>
      </c>
      <c r="D248" s="1">
        <v>45126</v>
      </c>
      <c r="E248" s="1">
        <f>SUM(Table1[[#This Row],[Delivery_Date]]-Table1[[#This Row],[Order_Date]])</f>
        <v>12</v>
      </c>
      <c r="F248" t="s">
        <v>24</v>
      </c>
      <c r="G248" t="s">
        <v>18</v>
      </c>
      <c r="H248">
        <v>1529</v>
      </c>
      <c r="I248" s="4">
        <v>23.42</v>
      </c>
      <c r="J248" s="4">
        <v>22.44</v>
      </c>
      <c r="K248" s="4">
        <f>Table1[[#This Row],[Quantity]]*Table1[[#This Row],[Negotiated_Price]]</f>
        <v>34310.76</v>
      </c>
      <c r="L248" s="4">
        <f>Table1[[#This Row],[Quantity]]*Table1[[#This Row],[Unit_Price]]</f>
        <v>35809.18</v>
      </c>
      <c r="M248" s="4">
        <f>Table1[[#This Row],[Unit_Price]]-Table1[[#This Row],[Negotiated_Price]]</f>
        <v>0.98000000000000043</v>
      </c>
      <c r="N248" s="3">
        <f>(Table1[[#This Row],[Unit_Price]]-Table1[[#This Row],[Negotiated_Price]])/Table1[[#This Row],[Unit_Price]]</f>
        <v>4.1844577284372346E-2</v>
      </c>
      <c r="O248">
        <v>30</v>
      </c>
      <c r="P248" t="s">
        <v>15</v>
      </c>
      <c r="Q248">
        <f>IF(Table1[[#This Row],[Compliance]]="Yes", 1, 0)</f>
        <v>1</v>
      </c>
    </row>
    <row r="249" spans="1:17" x14ac:dyDescent="0.35">
      <c r="A249" t="s">
        <v>274</v>
      </c>
      <c r="B249" t="s">
        <v>20</v>
      </c>
      <c r="C249" s="1">
        <v>44697</v>
      </c>
      <c r="D249" s="1">
        <v>44706</v>
      </c>
      <c r="E249" s="1">
        <f>SUM(Table1[[#This Row],[Delivery_Date]]-Table1[[#This Row],[Order_Date]])</f>
        <v>9</v>
      </c>
      <c r="F249" t="s">
        <v>39</v>
      </c>
      <c r="G249" t="s">
        <v>18</v>
      </c>
      <c r="H249">
        <v>1484</v>
      </c>
      <c r="I249" s="4">
        <v>36.25</v>
      </c>
      <c r="J249" s="4">
        <v>31.8</v>
      </c>
      <c r="K249" s="4">
        <f>Table1[[#This Row],[Quantity]]*Table1[[#This Row],[Negotiated_Price]]</f>
        <v>47191.200000000004</v>
      </c>
      <c r="L249" s="4">
        <f>Table1[[#This Row],[Quantity]]*Table1[[#This Row],[Unit_Price]]</f>
        <v>53795</v>
      </c>
      <c r="M249" s="4">
        <f>Table1[[#This Row],[Unit_Price]]-Table1[[#This Row],[Negotiated_Price]]</f>
        <v>4.4499999999999993</v>
      </c>
      <c r="N249" s="3">
        <f>(Table1[[#This Row],[Unit_Price]]-Table1[[#This Row],[Negotiated_Price]])/Table1[[#This Row],[Unit_Price]]</f>
        <v>0.12275862068965515</v>
      </c>
      <c r="O249">
        <v>61</v>
      </c>
      <c r="P249" t="s">
        <v>15</v>
      </c>
      <c r="Q249">
        <f>IF(Table1[[#This Row],[Compliance]]="Yes", 1, 0)</f>
        <v>1</v>
      </c>
    </row>
    <row r="250" spans="1:17" x14ac:dyDescent="0.35">
      <c r="A250" t="s">
        <v>275</v>
      </c>
      <c r="B250" t="s">
        <v>29</v>
      </c>
      <c r="C250" s="1">
        <v>45146</v>
      </c>
      <c r="D250" s="1">
        <v>45158</v>
      </c>
      <c r="E250" s="1">
        <f>SUM(Table1[[#This Row],[Delivery_Date]]-Table1[[#This Row],[Order_Date]])</f>
        <v>12</v>
      </c>
      <c r="F250" t="s">
        <v>24</v>
      </c>
      <c r="G250" t="s">
        <v>18</v>
      </c>
      <c r="H250">
        <v>698</v>
      </c>
      <c r="I250" s="4">
        <v>46.73</v>
      </c>
      <c r="J250" s="4">
        <v>45.61</v>
      </c>
      <c r="K250" s="4">
        <f>Table1[[#This Row],[Quantity]]*Table1[[#This Row],[Negotiated_Price]]</f>
        <v>31835.78</v>
      </c>
      <c r="L250" s="4">
        <f>Table1[[#This Row],[Quantity]]*Table1[[#This Row],[Unit_Price]]</f>
        <v>32617.539999999997</v>
      </c>
      <c r="M250" s="4">
        <f>Table1[[#This Row],[Unit_Price]]-Table1[[#This Row],[Negotiated_Price]]</f>
        <v>1.1199999999999974</v>
      </c>
      <c r="N250" s="3">
        <f>(Table1[[#This Row],[Unit_Price]]-Table1[[#This Row],[Negotiated_Price]])/Table1[[#This Row],[Unit_Price]]</f>
        <v>2.3967472715600204E-2</v>
      </c>
      <c r="O250">
        <v>15</v>
      </c>
      <c r="P250" t="s">
        <v>15</v>
      </c>
      <c r="Q250">
        <f>IF(Table1[[#This Row],[Compliance]]="Yes", 1, 0)</f>
        <v>1</v>
      </c>
    </row>
    <row r="251" spans="1:17" x14ac:dyDescent="0.35">
      <c r="A251" t="s">
        <v>276</v>
      </c>
      <c r="B251" t="s">
        <v>29</v>
      </c>
      <c r="C251" s="1">
        <v>45152</v>
      </c>
      <c r="D251" s="1">
        <v>45160</v>
      </c>
      <c r="E251" s="1">
        <f>SUM(Table1[[#This Row],[Delivery_Date]]-Table1[[#This Row],[Order_Date]])</f>
        <v>8</v>
      </c>
      <c r="F251" t="s">
        <v>24</v>
      </c>
      <c r="G251" t="s">
        <v>35</v>
      </c>
      <c r="H251">
        <v>367</v>
      </c>
      <c r="I251" s="4">
        <v>74.61</v>
      </c>
      <c r="J251" s="4">
        <v>71.36</v>
      </c>
      <c r="K251" s="4">
        <f>Table1[[#This Row],[Quantity]]*Table1[[#This Row],[Negotiated_Price]]</f>
        <v>26189.119999999999</v>
      </c>
      <c r="L251" s="4">
        <f>Table1[[#This Row],[Quantity]]*Table1[[#This Row],[Unit_Price]]</f>
        <v>27381.87</v>
      </c>
      <c r="M251" s="4">
        <f>Table1[[#This Row],[Unit_Price]]-Table1[[#This Row],[Negotiated_Price]]</f>
        <v>3.25</v>
      </c>
      <c r="N251" s="3">
        <f>(Table1[[#This Row],[Unit_Price]]-Table1[[#This Row],[Negotiated_Price]])/Table1[[#This Row],[Unit_Price]]</f>
        <v>4.3559844524862619E-2</v>
      </c>
      <c r="O251">
        <v>13</v>
      </c>
      <c r="P251" t="s">
        <v>15</v>
      </c>
      <c r="Q251">
        <f>IF(Table1[[#This Row],[Compliance]]="Yes", 1, 0)</f>
        <v>1</v>
      </c>
    </row>
    <row r="252" spans="1:17" x14ac:dyDescent="0.35">
      <c r="A252" t="s">
        <v>277</v>
      </c>
      <c r="B252" t="s">
        <v>29</v>
      </c>
      <c r="C252" s="1">
        <v>45046</v>
      </c>
      <c r="D252" s="1">
        <v>45066</v>
      </c>
      <c r="E252" s="1">
        <f>SUM(Table1[[#This Row],[Delivery_Date]]-Table1[[#This Row],[Order_Date]])</f>
        <v>20</v>
      </c>
      <c r="F252" t="s">
        <v>13</v>
      </c>
      <c r="G252" t="s">
        <v>33</v>
      </c>
      <c r="H252">
        <v>1750</v>
      </c>
      <c r="I252" s="4">
        <v>65.97</v>
      </c>
      <c r="J252" s="4">
        <v>58.34</v>
      </c>
      <c r="K252" s="4">
        <f>Table1[[#This Row],[Quantity]]*Table1[[#This Row],[Negotiated_Price]]</f>
        <v>102095</v>
      </c>
      <c r="L252" s="4">
        <f>Table1[[#This Row],[Quantity]]*Table1[[#This Row],[Unit_Price]]</f>
        <v>115447.5</v>
      </c>
      <c r="M252" s="4">
        <f>Table1[[#This Row],[Unit_Price]]-Table1[[#This Row],[Negotiated_Price]]</f>
        <v>7.6299999999999955</v>
      </c>
      <c r="N252" s="3">
        <f>(Table1[[#This Row],[Unit_Price]]-Table1[[#This Row],[Negotiated_Price]])/Table1[[#This Row],[Unit_Price]]</f>
        <v>0.11565863271183864</v>
      </c>
      <c r="O252">
        <v>50</v>
      </c>
      <c r="P252" t="s">
        <v>15</v>
      </c>
      <c r="Q252">
        <f>IF(Table1[[#This Row],[Compliance]]="Yes", 1, 0)</f>
        <v>1</v>
      </c>
    </row>
    <row r="253" spans="1:17" x14ac:dyDescent="0.35">
      <c r="A253" t="s">
        <v>278</v>
      </c>
      <c r="B253" t="s">
        <v>17</v>
      </c>
      <c r="C253" s="1">
        <v>44810</v>
      </c>
      <c r="D253" s="1">
        <v>44828</v>
      </c>
      <c r="E253" s="1">
        <f>SUM(Table1[[#This Row],[Delivery_Date]]-Table1[[#This Row],[Order_Date]])</f>
        <v>18</v>
      </c>
      <c r="F253" t="s">
        <v>13</v>
      </c>
      <c r="G253" t="s">
        <v>33</v>
      </c>
      <c r="H253">
        <v>1298</v>
      </c>
      <c r="I253" s="4">
        <v>43.73</v>
      </c>
      <c r="J253" s="4">
        <v>37.21</v>
      </c>
      <c r="K253" s="4">
        <f>Table1[[#This Row],[Quantity]]*Table1[[#This Row],[Negotiated_Price]]</f>
        <v>48298.58</v>
      </c>
      <c r="L253" s="4">
        <f>Table1[[#This Row],[Quantity]]*Table1[[#This Row],[Unit_Price]]</f>
        <v>56761.539999999994</v>
      </c>
      <c r="M253" s="4">
        <f>Table1[[#This Row],[Unit_Price]]-Table1[[#This Row],[Negotiated_Price]]</f>
        <v>6.519999999999996</v>
      </c>
      <c r="N253" s="3">
        <f>(Table1[[#This Row],[Unit_Price]]-Table1[[#This Row],[Negotiated_Price]])/Table1[[#This Row],[Unit_Price]]</f>
        <v>0.14909672993368389</v>
      </c>
      <c r="P253" t="s">
        <v>27</v>
      </c>
      <c r="Q253">
        <f>IF(Table1[[#This Row],[Compliance]]="Yes", 1, 0)</f>
        <v>0</v>
      </c>
    </row>
    <row r="254" spans="1:17" x14ac:dyDescent="0.35">
      <c r="A254" t="s">
        <v>279</v>
      </c>
      <c r="B254" t="s">
        <v>20</v>
      </c>
      <c r="C254" s="1">
        <v>45046</v>
      </c>
      <c r="D254" s="1">
        <v>45066</v>
      </c>
      <c r="E254" s="1">
        <f>SUM(Table1[[#This Row],[Delivery_Date]]-Table1[[#This Row],[Order_Date]])</f>
        <v>20</v>
      </c>
      <c r="F254" t="s">
        <v>24</v>
      </c>
      <c r="G254" t="s">
        <v>18</v>
      </c>
      <c r="H254">
        <v>1892</v>
      </c>
      <c r="I254" s="4">
        <v>106.2</v>
      </c>
      <c r="J254" s="4">
        <v>96.37</v>
      </c>
      <c r="K254" s="4">
        <f>Table1[[#This Row],[Quantity]]*Table1[[#This Row],[Negotiated_Price]]</f>
        <v>182332.04</v>
      </c>
      <c r="L254" s="4">
        <f>Table1[[#This Row],[Quantity]]*Table1[[#This Row],[Unit_Price]]</f>
        <v>200930.4</v>
      </c>
      <c r="M254" s="4">
        <f>Table1[[#This Row],[Unit_Price]]-Table1[[#This Row],[Negotiated_Price]]</f>
        <v>9.8299999999999983</v>
      </c>
      <c r="N254" s="3">
        <f>(Table1[[#This Row],[Unit_Price]]-Table1[[#This Row],[Negotiated_Price]])/Table1[[#This Row],[Unit_Price]]</f>
        <v>9.2561205273069658E-2</v>
      </c>
      <c r="O254">
        <v>93</v>
      </c>
      <c r="P254" t="s">
        <v>15</v>
      </c>
      <c r="Q254">
        <f>IF(Table1[[#This Row],[Compliance]]="Yes", 1, 0)</f>
        <v>1</v>
      </c>
    </row>
    <row r="255" spans="1:17" x14ac:dyDescent="0.35">
      <c r="A255" t="s">
        <v>280</v>
      </c>
      <c r="B255" t="s">
        <v>23</v>
      </c>
      <c r="C255" s="1">
        <v>44978</v>
      </c>
      <c r="D255" s="1">
        <v>44981</v>
      </c>
      <c r="E255" s="1">
        <f>SUM(Table1[[#This Row],[Delivery_Date]]-Table1[[#This Row],[Order_Date]])</f>
        <v>3</v>
      </c>
      <c r="F255" t="s">
        <v>39</v>
      </c>
      <c r="G255" t="s">
        <v>18</v>
      </c>
      <c r="H255">
        <v>1307</v>
      </c>
      <c r="I255" s="4">
        <v>68.709999999999994</v>
      </c>
      <c r="J255" s="4">
        <v>60.64</v>
      </c>
      <c r="K255" s="4">
        <f>Table1[[#This Row],[Quantity]]*Table1[[#This Row],[Negotiated_Price]]</f>
        <v>79256.479999999996</v>
      </c>
      <c r="L255" s="4">
        <f>Table1[[#This Row],[Quantity]]*Table1[[#This Row],[Unit_Price]]</f>
        <v>89803.969999999987</v>
      </c>
      <c r="M255" s="4">
        <f>Table1[[#This Row],[Unit_Price]]-Table1[[#This Row],[Negotiated_Price]]</f>
        <v>8.0699999999999932</v>
      </c>
      <c r="N255" s="3">
        <f>(Table1[[#This Row],[Unit_Price]]-Table1[[#This Row],[Negotiated_Price]])/Table1[[#This Row],[Unit_Price]]</f>
        <v>0.11745015281618387</v>
      </c>
      <c r="O255">
        <v>141</v>
      </c>
      <c r="P255" t="s">
        <v>15</v>
      </c>
      <c r="Q255">
        <f>IF(Table1[[#This Row],[Compliance]]="Yes", 1, 0)</f>
        <v>1</v>
      </c>
    </row>
    <row r="256" spans="1:17" x14ac:dyDescent="0.35">
      <c r="A256" t="s">
        <v>281</v>
      </c>
      <c r="B256" t="s">
        <v>23</v>
      </c>
      <c r="C256" s="1">
        <v>44756</v>
      </c>
      <c r="D256" s="1">
        <v>44771</v>
      </c>
      <c r="E256" s="1">
        <f>SUM(Table1[[#This Row],[Delivery_Date]]-Table1[[#This Row],[Order_Date]])</f>
        <v>15</v>
      </c>
      <c r="F256" t="s">
        <v>39</v>
      </c>
      <c r="G256" t="s">
        <v>18</v>
      </c>
      <c r="H256">
        <v>733</v>
      </c>
      <c r="I256" s="4">
        <v>32.29</v>
      </c>
      <c r="J256" s="4">
        <v>29.01</v>
      </c>
      <c r="K256" s="4">
        <f>Table1[[#This Row],[Quantity]]*Table1[[#This Row],[Negotiated_Price]]</f>
        <v>21264.33</v>
      </c>
      <c r="L256" s="4">
        <f>Table1[[#This Row],[Quantity]]*Table1[[#This Row],[Unit_Price]]</f>
        <v>23668.57</v>
      </c>
      <c r="M256" s="4">
        <f>Table1[[#This Row],[Unit_Price]]-Table1[[#This Row],[Negotiated_Price]]</f>
        <v>3.2799999999999976</v>
      </c>
      <c r="N256" s="3">
        <f>(Table1[[#This Row],[Unit_Price]]-Table1[[#This Row],[Negotiated_Price]])/Table1[[#This Row],[Unit_Price]]</f>
        <v>0.1015794363580055</v>
      </c>
      <c r="O256">
        <v>78</v>
      </c>
      <c r="P256" t="s">
        <v>15</v>
      </c>
      <c r="Q256">
        <f>IF(Table1[[#This Row],[Compliance]]="Yes", 1, 0)</f>
        <v>1</v>
      </c>
    </row>
    <row r="257" spans="1:17" hidden="1" x14ac:dyDescent="0.35">
      <c r="A257" t="s">
        <v>282</v>
      </c>
      <c r="B257" t="s">
        <v>20</v>
      </c>
      <c r="C257" s="1">
        <v>44658</v>
      </c>
      <c r="E257" s="1">
        <f>SUM(Table1[[#This Row],[Delivery_Date]]-Table1[[#This Row],[Order_Date]])</f>
        <v>-44658</v>
      </c>
      <c r="F257" t="s">
        <v>24</v>
      </c>
      <c r="G257" t="s">
        <v>18</v>
      </c>
      <c r="H257">
        <v>713</v>
      </c>
      <c r="I257">
        <v>19.45</v>
      </c>
      <c r="J257">
        <v>18.82</v>
      </c>
      <c r="K257">
        <f>Table1[[#This Row],[Quantity]]*Table1[[#This Row],[Negotiated_Price]]</f>
        <v>13418.66</v>
      </c>
      <c r="L257" s="5">
        <f>Table1[[#This Row],[Quantity]]*Table1[[#This Row],[Unit_Price]]</f>
        <v>13867.85</v>
      </c>
      <c r="M257">
        <f>Table1[[#This Row],[Unit_Price]]-Table1[[#This Row],[Negotiated_Price]]</f>
        <v>0.62999999999999901</v>
      </c>
      <c r="N257" s="2">
        <f>(Table1[[#This Row],[Unit_Price]]-Table1[[#This Row],[Negotiated_Price]])/Table1[[#This Row],[Unit_Price]]</f>
        <v>3.2390745501285297E-2</v>
      </c>
      <c r="O257">
        <v>31</v>
      </c>
      <c r="P257" t="s">
        <v>15</v>
      </c>
      <c r="Q257">
        <f>IF(Table1[[#This Row],[Compliance]]="Yes", 1, 0)</f>
        <v>1</v>
      </c>
    </row>
    <row r="258" spans="1:17" x14ac:dyDescent="0.35">
      <c r="A258" t="s">
        <v>283</v>
      </c>
      <c r="B258" t="s">
        <v>23</v>
      </c>
      <c r="C258" s="1">
        <v>44661</v>
      </c>
      <c r="D258" s="1">
        <v>44675</v>
      </c>
      <c r="E258" s="1">
        <f>SUM(Table1[[#This Row],[Delivery_Date]]-Table1[[#This Row],[Order_Date]])</f>
        <v>14</v>
      </c>
      <c r="F258" t="s">
        <v>24</v>
      </c>
      <c r="G258" t="s">
        <v>18</v>
      </c>
      <c r="H258">
        <v>1900</v>
      </c>
      <c r="I258" s="4">
        <v>24.11</v>
      </c>
      <c r="J258" s="4">
        <v>23.45</v>
      </c>
      <c r="K258" s="4">
        <f>Table1[[#This Row],[Quantity]]*Table1[[#This Row],[Negotiated_Price]]</f>
        <v>44555</v>
      </c>
      <c r="L258" s="4">
        <f>Table1[[#This Row],[Quantity]]*Table1[[#This Row],[Unit_Price]]</f>
        <v>45809</v>
      </c>
      <c r="M258" s="4">
        <f>Table1[[#This Row],[Unit_Price]]-Table1[[#This Row],[Negotiated_Price]]</f>
        <v>0.66000000000000014</v>
      </c>
      <c r="N258" s="3">
        <f>(Table1[[#This Row],[Unit_Price]]-Table1[[#This Row],[Negotiated_Price]])/Table1[[#This Row],[Unit_Price]]</f>
        <v>2.7374533388635429E-2</v>
      </c>
      <c r="O258">
        <v>188</v>
      </c>
      <c r="P258" t="s">
        <v>15</v>
      </c>
      <c r="Q258">
        <f>IF(Table1[[#This Row],[Compliance]]="Yes", 1, 0)</f>
        <v>1</v>
      </c>
    </row>
    <row r="259" spans="1:17" x14ac:dyDescent="0.35">
      <c r="A259" t="s">
        <v>284</v>
      </c>
      <c r="B259" t="s">
        <v>17</v>
      </c>
      <c r="C259" s="1">
        <v>45236</v>
      </c>
      <c r="D259" s="1">
        <v>45238</v>
      </c>
      <c r="E259" s="1">
        <f>SUM(Table1[[#This Row],[Delivery_Date]]-Table1[[#This Row],[Order_Date]])</f>
        <v>2</v>
      </c>
      <c r="F259" t="s">
        <v>21</v>
      </c>
      <c r="G259" t="s">
        <v>14</v>
      </c>
      <c r="H259">
        <v>1447</v>
      </c>
      <c r="I259" s="4">
        <v>35.67</v>
      </c>
      <c r="J259" s="4">
        <v>35.07</v>
      </c>
      <c r="K259" s="4">
        <f>Table1[[#This Row],[Quantity]]*Table1[[#This Row],[Negotiated_Price]]</f>
        <v>50746.29</v>
      </c>
      <c r="L259" s="4">
        <f>Table1[[#This Row],[Quantity]]*Table1[[#This Row],[Unit_Price]]</f>
        <v>51614.490000000005</v>
      </c>
      <c r="M259" s="4">
        <f>Table1[[#This Row],[Unit_Price]]-Table1[[#This Row],[Negotiated_Price]]</f>
        <v>0.60000000000000142</v>
      </c>
      <c r="N259" s="3">
        <f>(Table1[[#This Row],[Unit_Price]]-Table1[[#This Row],[Negotiated_Price]])/Table1[[#This Row],[Unit_Price]]</f>
        <v>1.682085786375109E-2</v>
      </c>
      <c r="O259">
        <v>224</v>
      </c>
      <c r="P259" t="s">
        <v>27</v>
      </c>
      <c r="Q259">
        <f>IF(Table1[[#This Row],[Compliance]]="Yes", 1, 0)</f>
        <v>0</v>
      </c>
    </row>
    <row r="260" spans="1:17" hidden="1" x14ac:dyDescent="0.35">
      <c r="A260" t="s">
        <v>285</v>
      </c>
      <c r="B260" t="s">
        <v>29</v>
      </c>
      <c r="C260" s="1">
        <v>45003</v>
      </c>
      <c r="E260" s="1">
        <f>SUM(Table1[[#This Row],[Delivery_Date]]-Table1[[#This Row],[Order_Date]])</f>
        <v>-45003</v>
      </c>
      <c r="F260" t="s">
        <v>13</v>
      </c>
      <c r="G260" t="s">
        <v>18</v>
      </c>
      <c r="H260">
        <v>1745</v>
      </c>
      <c r="I260">
        <v>26.17</v>
      </c>
      <c r="J260">
        <v>22.25</v>
      </c>
      <c r="K260">
        <f>Table1[[#This Row],[Quantity]]*Table1[[#This Row],[Negotiated_Price]]</f>
        <v>38826.25</v>
      </c>
      <c r="L260" s="5">
        <f>Table1[[#This Row],[Quantity]]*Table1[[#This Row],[Unit_Price]]</f>
        <v>45666.65</v>
      </c>
      <c r="M260">
        <f>Table1[[#This Row],[Unit_Price]]-Table1[[#This Row],[Negotiated_Price]]</f>
        <v>3.9200000000000017</v>
      </c>
      <c r="N260" s="2">
        <f>(Table1[[#This Row],[Unit_Price]]-Table1[[#This Row],[Negotiated_Price]])/Table1[[#This Row],[Unit_Price]]</f>
        <v>0.14978983568972112</v>
      </c>
      <c r="O260">
        <v>55</v>
      </c>
      <c r="P260" t="s">
        <v>15</v>
      </c>
      <c r="Q260">
        <f>IF(Table1[[#This Row],[Compliance]]="Yes", 1, 0)</f>
        <v>1</v>
      </c>
    </row>
    <row r="261" spans="1:17" x14ac:dyDescent="0.35">
      <c r="A261" t="s">
        <v>286</v>
      </c>
      <c r="B261" t="s">
        <v>23</v>
      </c>
      <c r="C261" s="1">
        <v>44924</v>
      </c>
      <c r="D261" s="1">
        <v>44940</v>
      </c>
      <c r="E261" s="1">
        <f>SUM(Table1[[#This Row],[Delivery_Date]]-Table1[[#This Row],[Order_Date]])</f>
        <v>16</v>
      </c>
      <c r="F261" t="s">
        <v>13</v>
      </c>
      <c r="G261" t="s">
        <v>18</v>
      </c>
      <c r="H261">
        <v>1681</v>
      </c>
      <c r="I261" s="4">
        <v>28.26</v>
      </c>
      <c r="J261" s="4">
        <v>26.62</v>
      </c>
      <c r="K261" s="4">
        <f>Table1[[#This Row],[Quantity]]*Table1[[#This Row],[Negotiated_Price]]</f>
        <v>44748.22</v>
      </c>
      <c r="L261" s="4">
        <f>Table1[[#This Row],[Quantity]]*Table1[[#This Row],[Unit_Price]]</f>
        <v>47505.060000000005</v>
      </c>
      <c r="M261" s="4">
        <f>Table1[[#This Row],[Unit_Price]]-Table1[[#This Row],[Negotiated_Price]]</f>
        <v>1.6400000000000006</v>
      </c>
      <c r="N261" s="3">
        <f>(Table1[[#This Row],[Unit_Price]]-Table1[[#This Row],[Negotiated_Price]])/Table1[[#This Row],[Unit_Price]]</f>
        <v>5.8032554847841492E-2</v>
      </c>
      <c r="O261">
        <v>143</v>
      </c>
      <c r="P261" t="s">
        <v>15</v>
      </c>
      <c r="Q261">
        <f>IF(Table1[[#This Row],[Compliance]]="Yes", 1, 0)</f>
        <v>1</v>
      </c>
    </row>
    <row r="262" spans="1:17" x14ac:dyDescent="0.35">
      <c r="A262" t="s">
        <v>287</v>
      </c>
      <c r="B262" t="s">
        <v>17</v>
      </c>
      <c r="C262" s="1">
        <v>44995</v>
      </c>
      <c r="D262" s="1">
        <v>45003</v>
      </c>
      <c r="E262" s="1">
        <f>SUM(Table1[[#This Row],[Delivery_Date]]-Table1[[#This Row],[Order_Date]])</f>
        <v>8</v>
      </c>
      <c r="F262" t="s">
        <v>39</v>
      </c>
      <c r="G262" t="s">
        <v>18</v>
      </c>
      <c r="H262">
        <v>1545</v>
      </c>
      <c r="I262" s="4">
        <v>38.15</v>
      </c>
      <c r="J262" s="4">
        <v>36.96</v>
      </c>
      <c r="K262" s="4">
        <f>Table1[[#This Row],[Quantity]]*Table1[[#This Row],[Negotiated_Price]]</f>
        <v>57103.200000000004</v>
      </c>
      <c r="L262" s="4">
        <f>Table1[[#This Row],[Quantity]]*Table1[[#This Row],[Unit_Price]]</f>
        <v>58941.75</v>
      </c>
      <c r="M262" s="4">
        <f>Table1[[#This Row],[Unit_Price]]-Table1[[#This Row],[Negotiated_Price]]</f>
        <v>1.1899999999999977</v>
      </c>
      <c r="N262" s="3">
        <f>(Table1[[#This Row],[Unit_Price]]-Table1[[#This Row],[Negotiated_Price]])/Table1[[#This Row],[Unit_Price]]</f>
        <v>3.1192660550458658E-2</v>
      </c>
      <c r="O262">
        <v>214</v>
      </c>
      <c r="P262" t="s">
        <v>15</v>
      </c>
      <c r="Q262">
        <f>IF(Table1[[#This Row],[Compliance]]="Yes", 1, 0)</f>
        <v>1</v>
      </c>
    </row>
    <row r="263" spans="1:17" x14ac:dyDescent="0.35">
      <c r="A263" t="s">
        <v>288</v>
      </c>
      <c r="B263" t="s">
        <v>29</v>
      </c>
      <c r="C263" s="1">
        <v>44982</v>
      </c>
      <c r="D263" s="1">
        <v>44987</v>
      </c>
      <c r="E263" s="1">
        <f>SUM(Table1[[#This Row],[Delivery_Date]]-Table1[[#This Row],[Order_Date]])</f>
        <v>5</v>
      </c>
      <c r="F263" t="s">
        <v>26</v>
      </c>
      <c r="G263" t="s">
        <v>18</v>
      </c>
      <c r="H263">
        <v>1306</v>
      </c>
      <c r="I263" s="4">
        <v>27.27</v>
      </c>
      <c r="J263" s="4">
        <v>25.96</v>
      </c>
      <c r="K263" s="4">
        <f>Table1[[#This Row],[Quantity]]*Table1[[#This Row],[Negotiated_Price]]</f>
        <v>33903.760000000002</v>
      </c>
      <c r="L263" s="4">
        <f>Table1[[#This Row],[Quantity]]*Table1[[#This Row],[Unit_Price]]</f>
        <v>35614.620000000003</v>
      </c>
      <c r="M263" s="4">
        <f>Table1[[#This Row],[Unit_Price]]-Table1[[#This Row],[Negotiated_Price]]</f>
        <v>1.3099999999999987</v>
      </c>
      <c r="N263" s="3">
        <f>(Table1[[#This Row],[Unit_Price]]-Table1[[#This Row],[Negotiated_Price]])/Table1[[#This Row],[Unit_Price]]</f>
        <v>4.8038137147047993E-2</v>
      </c>
      <c r="O263">
        <v>39</v>
      </c>
      <c r="P263" t="s">
        <v>15</v>
      </c>
      <c r="Q263">
        <f>IF(Table1[[#This Row],[Compliance]]="Yes", 1, 0)</f>
        <v>1</v>
      </c>
    </row>
    <row r="264" spans="1:17" x14ac:dyDescent="0.35">
      <c r="A264" t="s">
        <v>289</v>
      </c>
      <c r="B264" t="s">
        <v>20</v>
      </c>
      <c r="C264" s="1">
        <v>45040</v>
      </c>
      <c r="D264" s="1">
        <v>45052</v>
      </c>
      <c r="E264" s="1">
        <f>SUM(Table1[[#This Row],[Delivery_Date]]-Table1[[#This Row],[Order_Date]])</f>
        <v>12</v>
      </c>
      <c r="F264" t="s">
        <v>26</v>
      </c>
      <c r="G264" t="s">
        <v>18</v>
      </c>
      <c r="H264">
        <v>1765</v>
      </c>
      <c r="I264" s="4">
        <v>97.51</v>
      </c>
      <c r="J264" s="4">
        <v>84.3</v>
      </c>
      <c r="K264" s="4">
        <f>Table1[[#This Row],[Quantity]]*Table1[[#This Row],[Negotiated_Price]]</f>
        <v>148789.5</v>
      </c>
      <c r="L264" s="4">
        <f>Table1[[#This Row],[Quantity]]*Table1[[#This Row],[Unit_Price]]</f>
        <v>172105.15000000002</v>
      </c>
      <c r="M264" s="4">
        <f>Table1[[#This Row],[Unit_Price]]-Table1[[#This Row],[Negotiated_Price]]</f>
        <v>13.210000000000008</v>
      </c>
      <c r="N264" s="3">
        <f>(Table1[[#This Row],[Unit_Price]]-Table1[[#This Row],[Negotiated_Price]])/Table1[[#This Row],[Unit_Price]]</f>
        <v>0.13547328479130352</v>
      </c>
      <c r="O264">
        <v>65</v>
      </c>
      <c r="P264" t="s">
        <v>15</v>
      </c>
      <c r="Q264">
        <f>IF(Table1[[#This Row],[Compliance]]="Yes", 1, 0)</f>
        <v>1</v>
      </c>
    </row>
    <row r="265" spans="1:17" x14ac:dyDescent="0.35">
      <c r="A265" t="s">
        <v>290</v>
      </c>
      <c r="B265" t="s">
        <v>20</v>
      </c>
      <c r="C265" s="1">
        <v>44617</v>
      </c>
      <c r="D265" s="1">
        <v>44635</v>
      </c>
      <c r="E265" s="1">
        <f>SUM(Table1[[#This Row],[Delivery_Date]]-Table1[[#This Row],[Order_Date]])</f>
        <v>18</v>
      </c>
      <c r="F265" t="s">
        <v>24</v>
      </c>
      <c r="G265" t="s">
        <v>14</v>
      </c>
      <c r="H265">
        <v>1186</v>
      </c>
      <c r="I265" s="4">
        <v>17.309999999999999</v>
      </c>
      <c r="J265" s="4">
        <v>16</v>
      </c>
      <c r="K265" s="4">
        <f>Table1[[#This Row],[Quantity]]*Table1[[#This Row],[Negotiated_Price]]</f>
        <v>18976</v>
      </c>
      <c r="L265" s="4">
        <f>Table1[[#This Row],[Quantity]]*Table1[[#This Row],[Unit_Price]]</f>
        <v>20529.66</v>
      </c>
      <c r="M265" s="4">
        <f>Table1[[#This Row],[Unit_Price]]-Table1[[#This Row],[Negotiated_Price]]</f>
        <v>1.3099999999999987</v>
      </c>
      <c r="N265" s="3">
        <f>(Table1[[#This Row],[Unit_Price]]-Table1[[#This Row],[Negotiated_Price]])/Table1[[#This Row],[Unit_Price]]</f>
        <v>7.5678798382437823E-2</v>
      </c>
      <c r="O265">
        <v>64</v>
      </c>
      <c r="P265" t="s">
        <v>15</v>
      </c>
      <c r="Q265">
        <f>IF(Table1[[#This Row],[Compliance]]="Yes", 1, 0)</f>
        <v>1</v>
      </c>
    </row>
    <row r="266" spans="1:17" x14ac:dyDescent="0.35">
      <c r="A266" t="s">
        <v>291</v>
      </c>
      <c r="B266" t="s">
        <v>17</v>
      </c>
      <c r="C266" s="1">
        <v>45251</v>
      </c>
      <c r="D266" s="1">
        <v>45256</v>
      </c>
      <c r="E266" s="1">
        <f>SUM(Table1[[#This Row],[Delivery_Date]]-Table1[[#This Row],[Order_Date]])</f>
        <v>5</v>
      </c>
      <c r="F266" t="s">
        <v>24</v>
      </c>
      <c r="G266" t="s">
        <v>18</v>
      </c>
      <c r="H266">
        <v>1903</v>
      </c>
      <c r="I266" s="4">
        <v>63.5</v>
      </c>
      <c r="J266" s="4">
        <v>56.09</v>
      </c>
      <c r="K266" s="4">
        <f>Table1[[#This Row],[Quantity]]*Table1[[#This Row],[Negotiated_Price]]</f>
        <v>106739.27</v>
      </c>
      <c r="L266" s="4">
        <f>Table1[[#This Row],[Quantity]]*Table1[[#This Row],[Unit_Price]]</f>
        <v>120840.5</v>
      </c>
      <c r="M266" s="4">
        <f>Table1[[#This Row],[Unit_Price]]-Table1[[#This Row],[Negotiated_Price]]</f>
        <v>7.4099999999999966</v>
      </c>
      <c r="N266" s="3">
        <f>(Table1[[#This Row],[Unit_Price]]-Table1[[#This Row],[Negotiated_Price]])/Table1[[#This Row],[Unit_Price]]</f>
        <v>0.11669291338582671</v>
      </c>
      <c r="O266">
        <v>254</v>
      </c>
      <c r="P266" t="s">
        <v>15</v>
      </c>
      <c r="Q266">
        <f>IF(Table1[[#This Row],[Compliance]]="Yes", 1, 0)</f>
        <v>1</v>
      </c>
    </row>
    <row r="267" spans="1:17" x14ac:dyDescent="0.35">
      <c r="A267" t="s">
        <v>292</v>
      </c>
      <c r="B267" t="s">
        <v>17</v>
      </c>
      <c r="C267" s="1">
        <v>45231</v>
      </c>
      <c r="D267" s="1">
        <v>45235</v>
      </c>
      <c r="E267" s="1">
        <f>SUM(Table1[[#This Row],[Delivery_Date]]-Table1[[#This Row],[Order_Date]])</f>
        <v>4</v>
      </c>
      <c r="F267" t="s">
        <v>21</v>
      </c>
      <c r="G267" t="s">
        <v>18</v>
      </c>
      <c r="H267">
        <v>1570</v>
      </c>
      <c r="I267" s="4">
        <v>52.1</v>
      </c>
      <c r="J267" s="4">
        <v>47.87</v>
      </c>
      <c r="K267" s="4">
        <f>Table1[[#This Row],[Quantity]]*Table1[[#This Row],[Negotiated_Price]]</f>
        <v>75155.899999999994</v>
      </c>
      <c r="L267" s="4">
        <f>Table1[[#This Row],[Quantity]]*Table1[[#This Row],[Unit_Price]]</f>
        <v>81797</v>
      </c>
      <c r="M267" s="4">
        <f>Table1[[#This Row],[Unit_Price]]-Table1[[#This Row],[Negotiated_Price]]</f>
        <v>4.230000000000004</v>
      </c>
      <c r="N267" s="3">
        <f>(Table1[[#This Row],[Unit_Price]]-Table1[[#This Row],[Negotiated_Price]])/Table1[[#This Row],[Unit_Price]]</f>
        <v>8.1190019193858043E-2</v>
      </c>
      <c r="P267" t="s">
        <v>27</v>
      </c>
      <c r="Q267">
        <f>IF(Table1[[#This Row],[Compliance]]="Yes", 1, 0)</f>
        <v>0</v>
      </c>
    </row>
    <row r="268" spans="1:17" x14ac:dyDescent="0.35">
      <c r="A268" t="s">
        <v>293</v>
      </c>
      <c r="B268" t="s">
        <v>17</v>
      </c>
      <c r="C268" s="1">
        <v>45223</v>
      </c>
      <c r="D268" s="1">
        <v>45243</v>
      </c>
      <c r="E268" s="1">
        <f>SUM(Table1[[#This Row],[Delivery_Date]]-Table1[[#This Row],[Order_Date]])</f>
        <v>20</v>
      </c>
      <c r="F268" t="s">
        <v>21</v>
      </c>
      <c r="G268" t="s">
        <v>18</v>
      </c>
      <c r="H268">
        <v>491</v>
      </c>
      <c r="I268" s="4">
        <v>108.75</v>
      </c>
      <c r="J268" s="4">
        <v>93.35</v>
      </c>
      <c r="K268" s="4">
        <f>Table1[[#This Row],[Quantity]]*Table1[[#This Row],[Negotiated_Price]]</f>
        <v>45834.85</v>
      </c>
      <c r="L268" s="4">
        <f>Table1[[#This Row],[Quantity]]*Table1[[#This Row],[Unit_Price]]</f>
        <v>53396.25</v>
      </c>
      <c r="M268" s="4">
        <f>Table1[[#This Row],[Unit_Price]]-Table1[[#This Row],[Negotiated_Price]]</f>
        <v>15.400000000000006</v>
      </c>
      <c r="N268" s="3">
        <f>(Table1[[#This Row],[Unit_Price]]-Table1[[#This Row],[Negotiated_Price]])/Table1[[#This Row],[Unit_Price]]</f>
        <v>0.14160919540229891</v>
      </c>
      <c r="P268" t="s">
        <v>27</v>
      </c>
      <c r="Q268">
        <f>IF(Table1[[#This Row],[Compliance]]="Yes", 1, 0)</f>
        <v>0</v>
      </c>
    </row>
    <row r="269" spans="1:17" x14ac:dyDescent="0.35">
      <c r="A269" t="s">
        <v>294</v>
      </c>
      <c r="B269" t="s">
        <v>23</v>
      </c>
      <c r="C269" s="1">
        <v>44662</v>
      </c>
      <c r="D269" s="1">
        <v>44671</v>
      </c>
      <c r="E269" s="1">
        <f>SUM(Table1[[#This Row],[Delivery_Date]]-Table1[[#This Row],[Order_Date]])</f>
        <v>9</v>
      </c>
      <c r="F269" t="s">
        <v>39</v>
      </c>
      <c r="G269" t="s">
        <v>33</v>
      </c>
      <c r="H269">
        <v>613</v>
      </c>
      <c r="I269" s="4">
        <v>20.38</v>
      </c>
      <c r="J269" s="4">
        <v>20.170000000000002</v>
      </c>
      <c r="K269" s="4">
        <f>Table1[[#This Row],[Quantity]]*Table1[[#This Row],[Negotiated_Price]]</f>
        <v>12364.210000000001</v>
      </c>
      <c r="L269" s="4">
        <f>Table1[[#This Row],[Quantity]]*Table1[[#This Row],[Unit_Price]]</f>
        <v>12492.939999999999</v>
      </c>
      <c r="M269" s="4">
        <f>Table1[[#This Row],[Unit_Price]]-Table1[[#This Row],[Negotiated_Price]]</f>
        <v>0.2099999999999973</v>
      </c>
      <c r="N269" s="3">
        <f>(Table1[[#This Row],[Unit_Price]]-Table1[[#This Row],[Negotiated_Price]])/Table1[[#This Row],[Unit_Price]]</f>
        <v>1.03042198233561E-2</v>
      </c>
      <c r="O269">
        <v>58</v>
      </c>
      <c r="P269" t="s">
        <v>15</v>
      </c>
      <c r="Q269">
        <f>IF(Table1[[#This Row],[Compliance]]="Yes", 1, 0)</f>
        <v>1</v>
      </c>
    </row>
    <row r="270" spans="1:17" x14ac:dyDescent="0.35">
      <c r="A270" t="s">
        <v>295</v>
      </c>
      <c r="B270" t="s">
        <v>20</v>
      </c>
      <c r="C270" s="1">
        <v>44624</v>
      </c>
      <c r="D270" s="1">
        <v>44636</v>
      </c>
      <c r="E270" s="1">
        <f>SUM(Table1[[#This Row],[Delivery_Date]]-Table1[[#This Row],[Order_Date]])</f>
        <v>12</v>
      </c>
      <c r="F270" t="s">
        <v>26</v>
      </c>
      <c r="G270" t="s">
        <v>33</v>
      </c>
      <c r="H270">
        <v>1341</v>
      </c>
      <c r="I270" s="4">
        <v>46.27</v>
      </c>
      <c r="J270" s="4">
        <v>43.94</v>
      </c>
      <c r="K270" s="4">
        <f>Table1[[#This Row],[Quantity]]*Table1[[#This Row],[Negotiated_Price]]</f>
        <v>58923.539999999994</v>
      </c>
      <c r="L270" s="4">
        <f>Table1[[#This Row],[Quantity]]*Table1[[#This Row],[Unit_Price]]</f>
        <v>62048.070000000007</v>
      </c>
      <c r="M270" s="4">
        <f>Table1[[#This Row],[Unit_Price]]-Table1[[#This Row],[Negotiated_Price]]</f>
        <v>2.3300000000000054</v>
      </c>
      <c r="N270" s="3">
        <f>(Table1[[#This Row],[Unit_Price]]-Table1[[#This Row],[Negotiated_Price]])/Table1[[#This Row],[Unit_Price]]</f>
        <v>5.0356602550248653E-2</v>
      </c>
      <c r="O270">
        <v>63</v>
      </c>
      <c r="P270" t="s">
        <v>15</v>
      </c>
      <c r="Q270">
        <f>IF(Table1[[#This Row],[Compliance]]="Yes", 1, 0)</f>
        <v>1</v>
      </c>
    </row>
    <row r="271" spans="1:17" x14ac:dyDescent="0.35">
      <c r="A271" t="s">
        <v>296</v>
      </c>
      <c r="B271" t="s">
        <v>23</v>
      </c>
      <c r="C271" s="1">
        <v>44974</v>
      </c>
      <c r="D271" s="1">
        <v>44989</v>
      </c>
      <c r="E271" s="1">
        <f>SUM(Table1[[#This Row],[Delivery_Date]]-Table1[[#This Row],[Order_Date]])</f>
        <v>15</v>
      </c>
      <c r="F271" t="s">
        <v>21</v>
      </c>
      <c r="G271" t="s">
        <v>33</v>
      </c>
      <c r="H271">
        <v>1583</v>
      </c>
      <c r="I271" s="4">
        <v>103.57</v>
      </c>
      <c r="J271" s="4">
        <v>89.38</v>
      </c>
      <c r="K271" s="4">
        <f>Table1[[#This Row],[Quantity]]*Table1[[#This Row],[Negotiated_Price]]</f>
        <v>141488.53999999998</v>
      </c>
      <c r="L271" s="4">
        <f>Table1[[#This Row],[Quantity]]*Table1[[#This Row],[Unit_Price]]</f>
        <v>163951.31</v>
      </c>
      <c r="M271" s="4">
        <f>Table1[[#This Row],[Unit_Price]]-Table1[[#This Row],[Negotiated_Price]]</f>
        <v>14.189999999999998</v>
      </c>
      <c r="N271" s="3">
        <f>(Table1[[#This Row],[Unit_Price]]-Table1[[#This Row],[Negotiated_Price]])/Table1[[#This Row],[Unit_Price]]</f>
        <v>0.13700878632808727</v>
      </c>
      <c r="O271">
        <v>164</v>
      </c>
      <c r="P271" t="s">
        <v>15</v>
      </c>
      <c r="Q271">
        <f>IF(Table1[[#This Row],[Compliance]]="Yes", 1, 0)</f>
        <v>1</v>
      </c>
    </row>
    <row r="272" spans="1:17" hidden="1" x14ac:dyDescent="0.35">
      <c r="A272" t="s">
        <v>297</v>
      </c>
      <c r="B272" t="s">
        <v>23</v>
      </c>
      <c r="C272" s="1">
        <v>44909</v>
      </c>
      <c r="E272" s="1">
        <f>SUM(Table1[[#This Row],[Delivery_Date]]-Table1[[#This Row],[Order_Date]])</f>
        <v>-44909</v>
      </c>
      <c r="F272" t="s">
        <v>26</v>
      </c>
      <c r="G272" t="s">
        <v>14</v>
      </c>
      <c r="H272">
        <v>1880</v>
      </c>
      <c r="I272">
        <v>92.73</v>
      </c>
      <c r="J272">
        <v>90.78</v>
      </c>
      <c r="K272">
        <f>Table1[[#This Row],[Quantity]]*Table1[[#This Row],[Negotiated_Price]]</f>
        <v>170666.4</v>
      </c>
      <c r="L272" s="5">
        <f>Table1[[#This Row],[Quantity]]*Table1[[#This Row],[Unit_Price]]</f>
        <v>174332.4</v>
      </c>
      <c r="M272">
        <f>Table1[[#This Row],[Unit_Price]]-Table1[[#This Row],[Negotiated_Price]]</f>
        <v>1.9500000000000028</v>
      </c>
      <c r="N272" s="2">
        <f>(Table1[[#This Row],[Unit_Price]]-Table1[[#This Row],[Negotiated_Price]])/Table1[[#This Row],[Unit_Price]]</f>
        <v>2.1028793270786182E-2</v>
      </c>
      <c r="O272">
        <v>173</v>
      </c>
      <c r="P272" t="s">
        <v>15</v>
      </c>
      <c r="Q272">
        <f>IF(Table1[[#This Row],[Compliance]]="Yes", 1, 0)</f>
        <v>1</v>
      </c>
    </row>
    <row r="273" spans="1:17" x14ac:dyDescent="0.35">
      <c r="A273" t="s">
        <v>298</v>
      </c>
      <c r="B273" t="s">
        <v>29</v>
      </c>
      <c r="C273" s="1">
        <v>44673</v>
      </c>
      <c r="D273" s="1">
        <v>44677</v>
      </c>
      <c r="E273" s="1">
        <f>SUM(Table1[[#This Row],[Delivery_Date]]-Table1[[#This Row],[Order_Date]])</f>
        <v>4</v>
      </c>
      <c r="F273" t="s">
        <v>21</v>
      </c>
      <c r="G273" t="s">
        <v>18</v>
      </c>
      <c r="H273">
        <v>1459</v>
      </c>
      <c r="I273" s="4">
        <v>84.79</v>
      </c>
      <c r="J273" s="4">
        <v>82.72</v>
      </c>
      <c r="K273" s="4">
        <f>Table1[[#This Row],[Quantity]]*Table1[[#This Row],[Negotiated_Price]]</f>
        <v>120688.48</v>
      </c>
      <c r="L273" s="4">
        <f>Table1[[#This Row],[Quantity]]*Table1[[#This Row],[Unit_Price]]</f>
        <v>123708.61000000002</v>
      </c>
      <c r="M273" s="4">
        <f>Table1[[#This Row],[Unit_Price]]-Table1[[#This Row],[Negotiated_Price]]</f>
        <v>2.0700000000000074</v>
      </c>
      <c r="N273" s="3">
        <f>(Table1[[#This Row],[Unit_Price]]-Table1[[#This Row],[Negotiated_Price]])/Table1[[#This Row],[Unit_Price]]</f>
        <v>2.4413256280221809E-2</v>
      </c>
      <c r="O273">
        <v>47</v>
      </c>
      <c r="P273" t="s">
        <v>15</v>
      </c>
      <c r="Q273">
        <f>IF(Table1[[#This Row],[Compliance]]="Yes", 1, 0)</f>
        <v>1</v>
      </c>
    </row>
    <row r="274" spans="1:17" hidden="1" x14ac:dyDescent="0.35">
      <c r="A274" t="s">
        <v>299</v>
      </c>
      <c r="B274" t="s">
        <v>17</v>
      </c>
      <c r="C274" s="1">
        <v>44816</v>
      </c>
      <c r="E274" s="1">
        <f>SUM(Table1[[#This Row],[Delivery_Date]]-Table1[[#This Row],[Order_Date]])</f>
        <v>-44816</v>
      </c>
      <c r="F274" t="s">
        <v>13</v>
      </c>
      <c r="G274" t="s">
        <v>18</v>
      </c>
      <c r="H274">
        <v>1460</v>
      </c>
      <c r="I274">
        <v>34.54</v>
      </c>
      <c r="J274">
        <v>31.87</v>
      </c>
      <c r="K274">
        <f>Table1[[#This Row],[Quantity]]*Table1[[#This Row],[Negotiated_Price]]</f>
        <v>46530.200000000004</v>
      </c>
      <c r="L274" s="5">
        <f>Table1[[#This Row],[Quantity]]*Table1[[#This Row],[Unit_Price]]</f>
        <v>50428.4</v>
      </c>
      <c r="M274">
        <f>Table1[[#This Row],[Unit_Price]]-Table1[[#This Row],[Negotiated_Price]]</f>
        <v>2.6699999999999982</v>
      </c>
      <c r="N274" s="2">
        <f>(Table1[[#This Row],[Unit_Price]]-Table1[[#This Row],[Negotiated_Price]])/Table1[[#This Row],[Unit_Price]]</f>
        <v>7.7301679212507191E-2</v>
      </c>
      <c r="O274">
        <v>208</v>
      </c>
      <c r="P274" t="s">
        <v>27</v>
      </c>
      <c r="Q274">
        <f>IF(Table1[[#This Row],[Compliance]]="Yes", 1, 0)</f>
        <v>0</v>
      </c>
    </row>
    <row r="275" spans="1:17" x14ac:dyDescent="0.35">
      <c r="A275" t="s">
        <v>300</v>
      </c>
      <c r="B275" t="s">
        <v>23</v>
      </c>
      <c r="C275" s="1">
        <v>44758</v>
      </c>
      <c r="D275" s="1">
        <v>44770</v>
      </c>
      <c r="E275" s="1">
        <f>SUM(Table1[[#This Row],[Delivery_Date]]-Table1[[#This Row],[Order_Date]])</f>
        <v>12</v>
      </c>
      <c r="F275" t="s">
        <v>24</v>
      </c>
      <c r="G275" t="s">
        <v>33</v>
      </c>
      <c r="H275">
        <v>1186</v>
      </c>
      <c r="I275" s="4">
        <v>26.14</v>
      </c>
      <c r="J275" s="4">
        <v>24.78</v>
      </c>
      <c r="K275" s="4">
        <f>Table1[[#This Row],[Quantity]]*Table1[[#This Row],[Negotiated_Price]]</f>
        <v>29389.08</v>
      </c>
      <c r="L275" s="4">
        <f>Table1[[#This Row],[Quantity]]*Table1[[#This Row],[Unit_Price]]</f>
        <v>31002.04</v>
      </c>
      <c r="M275" s="4">
        <f>Table1[[#This Row],[Unit_Price]]-Table1[[#This Row],[Negotiated_Price]]</f>
        <v>1.3599999999999994</v>
      </c>
      <c r="N275" s="3">
        <f>(Table1[[#This Row],[Unit_Price]]-Table1[[#This Row],[Negotiated_Price]])/Table1[[#This Row],[Unit_Price]]</f>
        <v>5.2027543993879093E-2</v>
      </c>
      <c r="O275">
        <v>112</v>
      </c>
      <c r="P275" t="s">
        <v>15</v>
      </c>
      <c r="Q275">
        <f>IF(Table1[[#This Row],[Compliance]]="Yes", 1, 0)</f>
        <v>1</v>
      </c>
    </row>
    <row r="276" spans="1:17" x14ac:dyDescent="0.35">
      <c r="A276" t="s">
        <v>301</v>
      </c>
      <c r="B276" t="s">
        <v>29</v>
      </c>
      <c r="C276" s="1">
        <v>44756</v>
      </c>
      <c r="D276" s="1">
        <v>44765</v>
      </c>
      <c r="E276" s="1">
        <f>SUM(Table1[[#This Row],[Delivery_Date]]-Table1[[#This Row],[Order_Date]])</f>
        <v>9</v>
      </c>
      <c r="F276" t="s">
        <v>21</v>
      </c>
      <c r="G276" t="s">
        <v>35</v>
      </c>
      <c r="H276">
        <v>1686</v>
      </c>
      <c r="I276" s="4">
        <v>72.28</v>
      </c>
      <c r="J276" s="4">
        <v>65.209999999999994</v>
      </c>
      <c r="K276" s="4">
        <f>Table1[[#This Row],[Quantity]]*Table1[[#This Row],[Negotiated_Price]]</f>
        <v>109944.05999999998</v>
      </c>
      <c r="L276" s="4">
        <f>Table1[[#This Row],[Quantity]]*Table1[[#This Row],[Unit_Price]]</f>
        <v>121864.08</v>
      </c>
      <c r="M276" s="4">
        <f>Table1[[#This Row],[Unit_Price]]-Table1[[#This Row],[Negotiated_Price]]</f>
        <v>7.0700000000000074</v>
      </c>
      <c r="N276" s="3">
        <f>(Table1[[#This Row],[Unit_Price]]-Table1[[#This Row],[Negotiated_Price]])/Table1[[#This Row],[Unit_Price]]</f>
        <v>9.7814056447150077E-2</v>
      </c>
      <c r="O276">
        <v>53</v>
      </c>
      <c r="P276" t="s">
        <v>15</v>
      </c>
      <c r="Q276">
        <f>IF(Table1[[#This Row],[Compliance]]="Yes", 1, 0)</f>
        <v>1</v>
      </c>
    </row>
    <row r="277" spans="1:17" x14ac:dyDescent="0.35">
      <c r="A277" t="s">
        <v>302</v>
      </c>
      <c r="B277" t="s">
        <v>12</v>
      </c>
      <c r="C277" s="1">
        <v>45111</v>
      </c>
      <c r="D277" s="1">
        <v>45115</v>
      </c>
      <c r="E277" s="1">
        <f>SUM(Table1[[#This Row],[Delivery_Date]]-Table1[[#This Row],[Order_Date]])</f>
        <v>4</v>
      </c>
      <c r="F277" t="s">
        <v>21</v>
      </c>
      <c r="G277" t="s">
        <v>18</v>
      </c>
      <c r="H277">
        <v>1698</v>
      </c>
      <c r="I277" s="4">
        <v>102.07</v>
      </c>
      <c r="J277" s="4">
        <v>100.69</v>
      </c>
      <c r="K277" s="4">
        <f>Table1[[#This Row],[Quantity]]*Table1[[#This Row],[Negotiated_Price]]</f>
        <v>170971.62</v>
      </c>
      <c r="L277" s="4">
        <f>Table1[[#This Row],[Quantity]]*Table1[[#This Row],[Unit_Price]]</f>
        <v>173314.86</v>
      </c>
      <c r="M277" s="4">
        <f>Table1[[#This Row],[Unit_Price]]-Table1[[#This Row],[Negotiated_Price]]</f>
        <v>1.3799999999999955</v>
      </c>
      <c r="N277" s="3">
        <f>(Table1[[#This Row],[Unit_Price]]-Table1[[#This Row],[Negotiated_Price]])/Table1[[#This Row],[Unit_Price]]</f>
        <v>1.3520133241892775E-2</v>
      </c>
      <c r="O277">
        <v>28</v>
      </c>
      <c r="P277" t="s">
        <v>15</v>
      </c>
      <c r="Q277">
        <f>IF(Table1[[#This Row],[Compliance]]="Yes", 1, 0)</f>
        <v>1</v>
      </c>
    </row>
    <row r="278" spans="1:17" hidden="1" x14ac:dyDescent="0.35">
      <c r="A278" t="s">
        <v>303</v>
      </c>
      <c r="B278" t="s">
        <v>29</v>
      </c>
      <c r="C278" s="1">
        <v>45021</v>
      </c>
      <c r="E278" s="1">
        <f>SUM(Table1[[#This Row],[Delivery_Date]]-Table1[[#This Row],[Order_Date]])</f>
        <v>-45021</v>
      </c>
      <c r="F278" t="s">
        <v>39</v>
      </c>
      <c r="G278" t="s">
        <v>18</v>
      </c>
      <c r="H278">
        <v>1001</v>
      </c>
      <c r="I278">
        <v>64.62</v>
      </c>
      <c r="J278">
        <v>55.7</v>
      </c>
      <c r="K278">
        <f>Table1[[#This Row],[Quantity]]*Table1[[#This Row],[Negotiated_Price]]</f>
        <v>55755.700000000004</v>
      </c>
      <c r="L278" s="5">
        <f>Table1[[#This Row],[Quantity]]*Table1[[#This Row],[Unit_Price]]</f>
        <v>64684.62</v>
      </c>
      <c r="M278">
        <f>Table1[[#This Row],[Unit_Price]]-Table1[[#This Row],[Negotiated_Price]]</f>
        <v>8.9200000000000017</v>
      </c>
      <c r="N278" s="2">
        <f>(Table1[[#This Row],[Unit_Price]]-Table1[[#This Row],[Negotiated_Price]])/Table1[[#This Row],[Unit_Price]]</f>
        <v>0.13803775920767566</v>
      </c>
      <c r="O278">
        <v>32</v>
      </c>
      <c r="P278" t="s">
        <v>15</v>
      </c>
      <c r="Q278">
        <f>IF(Table1[[#This Row],[Compliance]]="Yes", 1, 0)</f>
        <v>1</v>
      </c>
    </row>
    <row r="279" spans="1:17" x14ac:dyDescent="0.35">
      <c r="A279" t="s">
        <v>304</v>
      </c>
      <c r="B279" t="s">
        <v>12</v>
      </c>
      <c r="C279" s="1">
        <v>44705</v>
      </c>
      <c r="D279" s="1">
        <v>44708</v>
      </c>
      <c r="E279" s="1">
        <f>SUM(Table1[[#This Row],[Delivery_Date]]-Table1[[#This Row],[Order_Date]])</f>
        <v>3</v>
      </c>
      <c r="F279" t="s">
        <v>13</v>
      </c>
      <c r="G279" t="s">
        <v>18</v>
      </c>
      <c r="H279">
        <v>1154</v>
      </c>
      <c r="I279" s="4">
        <v>62.67</v>
      </c>
      <c r="J279" s="4">
        <v>54.11</v>
      </c>
      <c r="K279" s="4">
        <f>Table1[[#This Row],[Quantity]]*Table1[[#This Row],[Negotiated_Price]]</f>
        <v>62442.94</v>
      </c>
      <c r="L279" s="4">
        <f>Table1[[#This Row],[Quantity]]*Table1[[#This Row],[Unit_Price]]</f>
        <v>72321.180000000008</v>
      </c>
      <c r="M279" s="4">
        <f>Table1[[#This Row],[Unit_Price]]-Table1[[#This Row],[Negotiated_Price]]</f>
        <v>8.5600000000000023</v>
      </c>
      <c r="N279" s="3">
        <f>(Table1[[#This Row],[Unit_Price]]-Table1[[#This Row],[Negotiated_Price]])/Table1[[#This Row],[Unit_Price]]</f>
        <v>0.13658847933620555</v>
      </c>
      <c r="O279">
        <v>25</v>
      </c>
      <c r="P279" t="s">
        <v>15</v>
      </c>
      <c r="Q279">
        <f>IF(Table1[[#This Row],[Compliance]]="Yes", 1, 0)</f>
        <v>1</v>
      </c>
    </row>
    <row r="280" spans="1:17" x14ac:dyDescent="0.35">
      <c r="A280" t="s">
        <v>305</v>
      </c>
      <c r="B280" t="s">
        <v>12</v>
      </c>
      <c r="C280" s="1">
        <v>44994</v>
      </c>
      <c r="D280" s="1">
        <v>45014</v>
      </c>
      <c r="E280" s="1">
        <f>SUM(Table1[[#This Row],[Delivery_Date]]-Table1[[#This Row],[Order_Date]])</f>
        <v>20</v>
      </c>
      <c r="F280" t="s">
        <v>24</v>
      </c>
      <c r="G280" t="s">
        <v>14</v>
      </c>
      <c r="H280">
        <v>748</v>
      </c>
      <c r="I280" s="4">
        <v>37.659999999999997</v>
      </c>
      <c r="J280" s="4">
        <v>32.71</v>
      </c>
      <c r="K280" s="4">
        <f>Table1[[#This Row],[Quantity]]*Table1[[#This Row],[Negotiated_Price]]</f>
        <v>24467.08</v>
      </c>
      <c r="L280" s="4">
        <f>Table1[[#This Row],[Quantity]]*Table1[[#This Row],[Unit_Price]]</f>
        <v>28169.679999999997</v>
      </c>
      <c r="M280" s="4">
        <f>Table1[[#This Row],[Unit_Price]]-Table1[[#This Row],[Negotiated_Price]]</f>
        <v>4.9499999999999957</v>
      </c>
      <c r="N280" s="3">
        <f>(Table1[[#This Row],[Unit_Price]]-Table1[[#This Row],[Negotiated_Price]])/Table1[[#This Row],[Unit_Price]]</f>
        <v>0.13143919277748264</v>
      </c>
      <c r="P280" t="s">
        <v>27</v>
      </c>
      <c r="Q280">
        <f>IF(Table1[[#This Row],[Compliance]]="Yes", 1, 0)</f>
        <v>0</v>
      </c>
    </row>
    <row r="281" spans="1:17" hidden="1" x14ac:dyDescent="0.35">
      <c r="A281" t="s">
        <v>306</v>
      </c>
      <c r="B281" t="s">
        <v>12</v>
      </c>
      <c r="C281" s="1">
        <v>44749</v>
      </c>
      <c r="E281" s="1">
        <f>SUM(Table1[[#This Row],[Delivery_Date]]-Table1[[#This Row],[Order_Date]])</f>
        <v>-44749</v>
      </c>
      <c r="F281" t="s">
        <v>13</v>
      </c>
      <c r="G281" t="s">
        <v>18</v>
      </c>
      <c r="H281">
        <v>162</v>
      </c>
      <c r="I281">
        <v>81.63</v>
      </c>
      <c r="J281">
        <v>78.760000000000005</v>
      </c>
      <c r="K281">
        <f>Table1[[#This Row],[Quantity]]*Table1[[#This Row],[Negotiated_Price]]</f>
        <v>12759.12</v>
      </c>
      <c r="L281" s="5">
        <f>Table1[[#This Row],[Quantity]]*Table1[[#This Row],[Unit_Price]]</f>
        <v>13224.06</v>
      </c>
      <c r="M281">
        <f>Table1[[#This Row],[Unit_Price]]-Table1[[#This Row],[Negotiated_Price]]</f>
        <v>2.8699999999999903</v>
      </c>
      <c r="N281" s="2">
        <f>(Table1[[#This Row],[Unit_Price]]-Table1[[#This Row],[Negotiated_Price]])/Table1[[#This Row],[Unit_Price]]</f>
        <v>3.5158642655886196E-2</v>
      </c>
      <c r="O281">
        <v>2</v>
      </c>
      <c r="P281" t="s">
        <v>15</v>
      </c>
      <c r="Q281">
        <f>IF(Table1[[#This Row],[Compliance]]="Yes", 1, 0)</f>
        <v>1</v>
      </c>
    </row>
    <row r="282" spans="1:17" x14ac:dyDescent="0.35">
      <c r="A282" t="s">
        <v>307</v>
      </c>
      <c r="B282" t="s">
        <v>12</v>
      </c>
      <c r="C282" s="1">
        <v>44847</v>
      </c>
      <c r="D282" s="1">
        <v>44858</v>
      </c>
      <c r="E282" s="1">
        <f>SUM(Table1[[#This Row],[Delivery_Date]]-Table1[[#This Row],[Order_Date]])</f>
        <v>11</v>
      </c>
      <c r="F282" t="s">
        <v>24</v>
      </c>
      <c r="G282" t="s">
        <v>18</v>
      </c>
      <c r="H282">
        <v>51</v>
      </c>
      <c r="I282" s="4">
        <v>28.04</v>
      </c>
      <c r="J282" s="4">
        <v>24.13</v>
      </c>
      <c r="K282" s="4">
        <f>Table1[[#This Row],[Quantity]]*Table1[[#This Row],[Negotiated_Price]]</f>
        <v>1230.6299999999999</v>
      </c>
      <c r="L282" s="4">
        <f>Table1[[#This Row],[Quantity]]*Table1[[#This Row],[Unit_Price]]</f>
        <v>1430.04</v>
      </c>
      <c r="M282" s="4">
        <f>Table1[[#This Row],[Unit_Price]]-Table1[[#This Row],[Negotiated_Price]]</f>
        <v>3.91</v>
      </c>
      <c r="N282" s="3">
        <f>(Table1[[#This Row],[Unit_Price]]-Table1[[#This Row],[Negotiated_Price]])/Table1[[#This Row],[Unit_Price]]</f>
        <v>0.13944365192582026</v>
      </c>
      <c r="O282">
        <v>0</v>
      </c>
      <c r="P282" t="s">
        <v>15</v>
      </c>
      <c r="Q282">
        <f>IF(Table1[[#This Row],[Compliance]]="Yes", 1, 0)</f>
        <v>1</v>
      </c>
    </row>
    <row r="283" spans="1:17" x14ac:dyDescent="0.35">
      <c r="A283" t="s">
        <v>308</v>
      </c>
      <c r="B283" t="s">
        <v>17</v>
      </c>
      <c r="C283" s="1">
        <v>45035</v>
      </c>
      <c r="D283" s="1">
        <v>45040</v>
      </c>
      <c r="E283" s="1">
        <f>SUM(Table1[[#This Row],[Delivery_Date]]-Table1[[#This Row],[Order_Date]])</f>
        <v>5</v>
      </c>
      <c r="F283" t="s">
        <v>13</v>
      </c>
      <c r="G283" t="s">
        <v>18</v>
      </c>
      <c r="H283">
        <v>691</v>
      </c>
      <c r="I283" s="4">
        <v>42.07</v>
      </c>
      <c r="J283" s="4">
        <v>39.1</v>
      </c>
      <c r="K283" s="4">
        <f>Table1[[#This Row],[Quantity]]*Table1[[#This Row],[Negotiated_Price]]</f>
        <v>27018.100000000002</v>
      </c>
      <c r="L283" s="4">
        <f>Table1[[#This Row],[Quantity]]*Table1[[#This Row],[Unit_Price]]</f>
        <v>29070.37</v>
      </c>
      <c r="M283" s="4">
        <f>Table1[[#This Row],[Unit_Price]]-Table1[[#This Row],[Negotiated_Price]]</f>
        <v>2.9699999999999989</v>
      </c>
      <c r="N283" s="3">
        <f>(Table1[[#This Row],[Unit_Price]]-Table1[[#This Row],[Negotiated_Price]])/Table1[[#This Row],[Unit_Price]]</f>
        <v>7.0596624673163744E-2</v>
      </c>
      <c r="O283">
        <v>106</v>
      </c>
      <c r="P283" t="s">
        <v>15</v>
      </c>
      <c r="Q283">
        <f>IF(Table1[[#This Row],[Compliance]]="Yes", 1, 0)</f>
        <v>1</v>
      </c>
    </row>
    <row r="284" spans="1:17" x14ac:dyDescent="0.35">
      <c r="A284" t="s">
        <v>309</v>
      </c>
      <c r="B284" t="s">
        <v>23</v>
      </c>
      <c r="C284" s="1">
        <v>44817</v>
      </c>
      <c r="D284" s="1">
        <v>44824</v>
      </c>
      <c r="E284" s="1">
        <f>SUM(Table1[[#This Row],[Delivery_Date]]-Table1[[#This Row],[Order_Date]])</f>
        <v>7</v>
      </c>
      <c r="F284" t="s">
        <v>13</v>
      </c>
      <c r="G284" t="s">
        <v>18</v>
      </c>
      <c r="H284">
        <v>269</v>
      </c>
      <c r="I284" s="4">
        <v>50.22</v>
      </c>
      <c r="J284" s="4">
        <v>45.75</v>
      </c>
      <c r="K284" s="4">
        <f>Table1[[#This Row],[Quantity]]*Table1[[#This Row],[Negotiated_Price]]</f>
        <v>12306.75</v>
      </c>
      <c r="L284" s="4">
        <f>Table1[[#This Row],[Quantity]]*Table1[[#This Row],[Unit_Price]]</f>
        <v>13509.18</v>
      </c>
      <c r="M284" s="4">
        <f>Table1[[#This Row],[Unit_Price]]-Table1[[#This Row],[Negotiated_Price]]</f>
        <v>4.4699999999999989</v>
      </c>
      <c r="N284" s="3">
        <f>(Table1[[#This Row],[Unit_Price]]-Table1[[#This Row],[Negotiated_Price]])/Table1[[#This Row],[Unit_Price]]</f>
        <v>8.9008363201911564E-2</v>
      </c>
      <c r="O284">
        <v>32</v>
      </c>
      <c r="P284" t="s">
        <v>27</v>
      </c>
      <c r="Q284">
        <f>IF(Table1[[#This Row],[Compliance]]="Yes", 1, 0)</f>
        <v>0</v>
      </c>
    </row>
    <row r="285" spans="1:17" x14ac:dyDescent="0.35">
      <c r="A285" t="s">
        <v>310</v>
      </c>
      <c r="B285" t="s">
        <v>23</v>
      </c>
      <c r="C285" s="1">
        <v>44639</v>
      </c>
      <c r="D285" s="1">
        <v>44657</v>
      </c>
      <c r="E285" s="1">
        <f>SUM(Table1[[#This Row],[Delivery_Date]]-Table1[[#This Row],[Order_Date]])</f>
        <v>18</v>
      </c>
      <c r="F285" t="s">
        <v>39</v>
      </c>
      <c r="G285" t="s">
        <v>35</v>
      </c>
      <c r="H285">
        <v>1639</v>
      </c>
      <c r="I285" s="4">
        <v>56.24</v>
      </c>
      <c r="J285" s="4">
        <v>55.4</v>
      </c>
      <c r="K285" s="4">
        <f>Table1[[#This Row],[Quantity]]*Table1[[#This Row],[Negotiated_Price]]</f>
        <v>90800.599999999991</v>
      </c>
      <c r="L285" s="4">
        <f>Table1[[#This Row],[Quantity]]*Table1[[#This Row],[Unit_Price]]</f>
        <v>92177.36</v>
      </c>
      <c r="M285" s="4">
        <f>Table1[[#This Row],[Unit_Price]]-Table1[[#This Row],[Negotiated_Price]]</f>
        <v>0.84000000000000341</v>
      </c>
      <c r="N285" s="3">
        <f>(Table1[[#This Row],[Unit_Price]]-Table1[[#This Row],[Negotiated_Price]])/Table1[[#This Row],[Unit_Price]]</f>
        <v>1.4935988620199207E-2</v>
      </c>
      <c r="O285">
        <v>147</v>
      </c>
      <c r="P285" t="s">
        <v>15</v>
      </c>
      <c r="Q285">
        <f>IF(Table1[[#This Row],[Compliance]]="Yes", 1, 0)</f>
        <v>1</v>
      </c>
    </row>
    <row r="286" spans="1:17" x14ac:dyDescent="0.35">
      <c r="A286" t="s">
        <v>311</v>
      </c>
      <c r="B286" t="s">
        <v>12</v>
      </c>
      <c r="C286" s="1">
        <v>45015</v>
      </c>
      <c r="D286" s="1">
        <v>45022</v>
      </c>
      <c r="E286" s="1">
        <f>SUM(Table1[[#This Row],[Delivery_Date]]-Table1[[#This Row],[Order_Date]])</f>
        <v>7</v>
      </c>
      <c r="F286" t="s">
        <v>26</v>
      </c>
      <c r="G286" t="s">
        <v>18</v>
      </c>
      <c r="H286">
        <v>904</v>
      </c>
      <c r="I286" s="4">
        <v>34.04</v>
      </c>
      <c r="J286" s="4">
        <v>30.06</v>
      </c>
      <c r="K286" s="4">
        <f>Table1[[#This Row],[Quantity]]*Table1[[#This Row],[Negotiated_Price]]</f>
        <v>27174.239999999998</v>
      </c>
      <c r="L286" s="4">
        <f>Table1[[#This Row],[Quantity]]*Table1[[#This Row],[Unit_Price]]</f>
        <v>30772.16</v>
      </c>
      <c r="M286" s="4">
        <f>Table1[[#This Row],[Unit_Price]]-Table1[[#This Row],[Negotiated_Price]]</f>
        <v>3.9800000000000004</v>
      </c>
      <c r="N286" s="3">
        <f>(Table1[[#This Row],[Unit_Price]]-Table1[[#This Row],[Negotiated_Price]])/Table1[[#This Row],[Unit_Price]]</f>
        <v>0.11692126909518215</v>
      </c>
      <c r="O286">
        <v>26</v>
      </c>
      <c r="P286" t="s">
        <v>15</v>
      </c>
      <c r="Q286">
        <f>IF(Table1[[#This Row],[Compliance]]="Yes", 1, 0)</f>
        <v>1</v>
      </c>
    </row>
    <row r="287" spans="1:17" x14ac:dyDescent="0.35">
      <c r="A287" t="s">
        <v>312</v>
      </c>
      <c r="B287" t="s">
        <v>23</v>
      </c>
      <c r="C287" s="1">
        <v>45125</v>
      </c>
      <c r="D287" s="1">
        <v>45133</v>
      </c>
      <c r="E287" s="1">
        <f>SUM(Table1[[#This Row],[Delivery_Date]]-Table1[[#This Row],[Order_Date]])</f>
        <v>8</v>
      </c>
      <c r="F287" t="s">
        <v>13</v>
      </c>
      <c r="G287" t="s">
        <v>18</v>
      </c>
      <c r="H287">
        <v>1809</v>
      </c>
      <c r="I287" s="4">
        <v>22.17</v>
      </c>
      <c r="J287" s="4">
        <v>19.649999999999999</v>
      </c>
      <c r="K287" s="4">
        <f>Table1[[#This Row],[Quantity]]*Table1[[#This Row],[Negotiated_Price]]</f>
        <v>35546.85</v>
      </c>
      <c r="L287" s="4">
        <f>Table1[[#This Row],[Quantity]]*Table1[[#This Row],[Unit_Price]]</f>
        <v>40105.530000000006</v>
      </c>
      <c r="M287" s="4">
        <f>Table1[[#This Row],[Unit_Price]]-Table1[[#This Row],[Negotiated_Price]]</f>
        <v>2.5200000000000031</v>
      </c>
      <c r="N287" s="3">
        <f>(Table1[[#This Row],[Unit_Price]]-Table1[[#This Row],[Negotiated_Price]])/Table1[[#This Row],[Unit_Price]]</f>
        <v>0.11366711772665777</v>
      </c>
      <c r="P287" t="s">
        <v>15</v>
      </c>
      <c r="Q287">
        <f>IF(Table1[[#This Row],[Compliance]]="Yes", 1, 0)</f>
        <v>1</v>
      </c>
    </row>
    <row r="288" spans="1:17" x14ac:dyDescent="0.35">
      <c r="A288" t="s">
        <v>313</v>
      </c>
      <c r="B288" t="s">
        <v>12</v>
      </c>
      <c r="C288" s="1">
        <v>44662</v>
      </c>
      <c r="D288" s="1">
        <v>44667</v>
      </c>
      <c r="E288" s="1">
        <f>SUM(Table1[[#This Row],[Delivery_Date]]-Table1[[#This Row],[Order_Date]])</f>
        <v>5</v>
      </c>
      <c r="F288" t="s">
        <v>24</v>
      </c>
      <c r="G288" t="s">
        <v>18</v>
      </c>
      <c r="H288">
        <v>1298</v>
      </c>
      <c r="I288" s="4">
        <v>65.930000000000007</v>
      </c>
      <c r="J288" s="4">
        <v>58.95</v>
      </c>
      <c r="K288" s="4">
        <f>Table1[[#This Row],[Quantity]]*Table1[[#This Row],[Negotiated_Price]]</f>
        <v>76517.100000000006</v>
      </c>
      <c r="L288" s="4">
        <f>Table1[[#This Row],[Quantity]]*Table1[[#This Row],[Unit_Price]]</f>
        <v>85577.140000000014</v>
      </c>
      <c r="M288" s="4">
        <f>Table1[[#This Row],[Unit_Price]]-Table1[[#This Row],[Negotiated_Price]]</f>
        <v>6.980000000000004</v>
      </c>
      <c r="N288" s="3">
        <f>(Table1[[#This Row],[Unit_Price]]-Table1[[#This Row],[Negotiated_Price]])/Table1[[#This Row],[Unit_Price]]</f>
        <v>0.10586986197482183</v>
      </c>
      <c r="P288" t="s">
        <v>15</v>
      </c>
      <c r="Q288">
        <f>IF(Table1[[#This Row],[Compliance]]="Yes", 1, 0)</f>
        <v>1</v>
      </c>
    </row>
    <row r="289" spans="1:17" x14ac:dyDescent="0.35">
      <c r="A289" t="s">
        <v>314</v>
      </c>
      <c r="B289" t="s">
        <v>23</v>
      </c>
      <c r="C289" s="1">
        <v>44613</v>
      </c>
      <c r="D289" s="1">
        <v>44633</v>
      </c>
      <c r="E289" s="1">
        <f>SUM(Table1[[#This Row],[Delivery_Date]]-Table1[[#This Row],[Order_Date]])</f>
        <v>20</v>
      </c>
      <c r="F289" t="s">
        <v>24</v>
      </c>
      <c r="G289" t="s">
        <v>18</v>
      </c>
      <c r="H289">
        <v>434</v>
      </c>
      <c r="I289" s="4">
        <v>36.159999999999997</v>
      </c>
      <c r="J289" s="4">
        <v>34.79</v>
      </c>
      <c r="K289" s="4">
        <f>Table1[[#This Row],[Quantity]]*Table1[[#This Row],[Negotiated_Price]]</f>
        <v>15098.859999999999</v>
      </c>
      <c r="L289" s="4">
        <f>Table1[[#This Row],[Quantity]]*Table1[[#This Row],[Unit_Price]]</f>
        <v>15693.439999999999</v>
      </c>
      <c r="M289" s="4">
        <f>Table1[[#This Row],[Unit_Price]]-Table1[[#This Row],[Negotiated_Price]]</f>
        <v>1.3699999999999974</v>
      </c>
      <c r="N289" s="3">
        <f>(Table1[[#This Row],[Unit_Price]]-Table1[[#This Row],[Negotiated_Price]])/Table1[[#This Row],[Unit_Price]]</f>
        <v>3.7887168141592854E-2</v>
      </c>
      <c r="O289">
        <v>41</v>
      </c>
      <c r="P289" t="s">
        <v>15</v>
      </c>
      <c r="Q289">
        <f>IF(Table1[[#This Row],[Compliance]]="Yes", 1, 0)</f>
        <v>1</v>
      </c>
    </row>
    <row r="290" spans="1:17" x14ac:dyDescent="0.35">
      <c r="A290" t="s">
        <v>315</v>
      </c>
      <c r="B290" t="s">
        <v>29</v>
      </c>
      <c r="C290" s="1">
        <v>45229</v>
      </c>
      <c r="D290" s="1">
        <v>45234</v>
      </c>
      <c r="E290" s="1">
        <f>SUM(Table1[[#This Row],[Delivery_Date]]-Table1[[#This Row],[Order_Date]])</f>
        <v>5</v>
      </c>
      <c r="F290" t="s">
        <v>39</v>
      </c>
      <c r="G290" t="s">
        <v>18</v>
      </c>
      <c r="H290">
        <v>1476</v>
      </c>
      <c r="I290" s="4">
        <v>68.849999999999994</v>
      </c>
      <c r="J290" s="4">
        <v>65.28</v>
      </c>
      <c r="K290" s="4">
        <f>Table1[[#This Row],[Quantity]]*Table1[[#This Row],[Negotiated_Price]]</f>
        <v>96353.279999999999</v>
      </c>
      <c r="L290" s="4">
        <f>Table1[[#This Row],[Quantity]]*Table1[[#This Row],[Unit_Price]]</f>
        <v>101622.59999999999</v>
      </c>
      <c r="M290" s="4">
        <f>Table1[[#This Row],[Unit_Price]]-Table1[[#This Row],[Negotiated_Price]]</f>
        <v>3.5699999999999932</v>
      </c>
      <c r="N290" s="3">
        <f>(Table1[[#This Row],[Unit_Price]]-Table1[[#This Row],[Negotiated_Price]])/Table1[[#This Row],[Unit_Price]]</f>
        <v>5.185185185185176E-2</v>
      </c>
      <c r="O290">
        <v>43</v>
      </c>
      <c r="P290" t="s">
        <v>15</v>
      </c>
      <c r="Q290">
        <f>IF(Table1[[#This Row],[Compliance]]="Yes", 1, 0)</f>
        <v>1</v>
      </c>
    </row>
    <row r="291" spans="1:17" hidden="1" x14ac:dyDescent="0.35">
      <c r="A291" t="s">
        <v>316</v>
      </c>
      <c r="B291" t="s">
        <v>17</v>
      </c>
      <c r="C291" s="1">
        <v>45115</v>
      </c>
      <c r="E291" s="1">
        <f>SUM(Table1[[#This Row],[Delivery_Date]]-Table1[[#This Row],[Order_Date]])</f>
        <v>-45115</v>
      </c>
      <c r="F291" t="s">
        <v>26</v>
      </c>
      <c r="G291" t="s">
        <v>33</v>
      </c>
      <c r="H291">
        <v>1711</v>
      </c>
      <c r="I291">
        <v>26.04</v>
      </c>
      <c r="J291">
        <v>24.81</v>
      </c>
      <c r="K291">
        <f>Table1[[#This Row],[Quantity]]*Table1[[#This Row],[Negotiated_Price]]</f>
        <v>42449.909999999996</v>
      </c>
      <c r="L291" s="5">
        <f>Table1[[#This Row],[Quantity]]*Table1[[#This Row],[Unit_Price]]</f>
        <v>44554.439999999995</v>
      </c>
      <c r="M291">
        <f>Table1[[#This Row],[Unit_Price]]-Table1[[#This Row],[Negotiated_Price]]</f>
        <v>1.2300000000000004</v>
      </c>
      <c r="N291" s="2">
        <f>(Table1[[#This Row],[Unit_Price]]-Table1[[#This Row],[Negotiated_Price]])/Table1[[#This Row],[Unit_Price]]</f>
        <v>4.7235023041474672E-2</v>
      </c>
      <c r="O291">
        <v>290</v>
      </c>
      <c r="P291" t="s">
        <v>15</v>
      </c>
      <c r="Q291">
        <f>IF(Table1[[#This Row],[Compliance]]="Yes", 1, 0)</f>
        <v>1</v>
      </c>
    </row>
    <row r="292" spans="1:17" x14ac:dyDescent="0.35">
      <c r="A292" t="s">
        <v>317</v>
      </c>
      <c r="B292" t="s">
        <v>20</v>
      </c>
      <c r="C292" s="1">
        <v>44577</v>
      </c>
      <c r="D292" s="1">
        <v>44583</v>
      </c>
      <c r="E292" s="1">
        <f>SUM(Table1[[#This Row],[Delivery_Date]]-Table1[[#This Row],[Order_Date]])</f>
        <v>6</v>
      </c>
      <c r="F292" t="s">
        <v>24</v>
      </c>
      <c r="G292" t="s">
        <v>18</v>
      </c>
      <c r="H292">
        <v>1203</v>
      </c>
      <c r="I292" s="4">
        <v>53.3</v>
      </c>
      <c r="J292" s="4">
        <v>47.68</v>
      </c>
      <c r="K292" s="4">
        <f>Table1[[#This Row],[Quantity]]*Table1[[#This Row],[Negotiated_Price]]</f>
        <v>57359.040000000001</v>
      </c>
      <c r="L292" s="4">
        <f>Table1[[#This Row],[Quantity]]*Table1[[#This Row],[Unit_Price]]</f>
        <v>64119.899999999994</v>
      </c>
      <c r="M292" s="4">
        <f>Table1[[#This Row],[Unit_Price]]-Table1[[#This Row],[Negotiated_Price]]</f>
        <v>5.6199999999999974</v>
      </c>
      <c r="N292" s="3">
        <f>(Table1[[#This Row],[Unit_Price]]-Table1[[#This Row],[Negotiated_Price]])/Table1[[#This Row],[Unit_Price]]</f>
        <v>0.10544090056285174</v>
      </c>
      <c r="O292">
        <v>49</v>
      </c>
      <c r="P292" t="s">
        <v>15</v>
      </c>
      <c r="Q292">
        <f>IF(Table1[[#This Row],[Compliance]]="Yes", 1, 0)</f>
        <v>1</v>
      </c>
    </row>
    <row r="293" spans="1:17" x14ac:dyDescent="0.35">
      <c r="A293" t="s">
        <v>318</v>
      </c>
      <c r="B293" t="s">
        <v>12</v>
      </c>
      <c r="C293" s="1">
        <v>44657</v>
      </c>
      <c r="D293" s="1">
        <v>44658</v>
      </c>
      <c r="E293" s="1">
        <f>SUM(Table1[[#This Row],[Delivery_Date]]-Table1[[#This Row],[Order_Date]])</f>
        <v>1</v>
      </c>
      <c r="F293" t="s">
        <v>39</v>
      </c>
      <c r="G293" t="s">
        <v>18</v>
      </c>
      <c r="H293">
        <v>1126</v>
      </c>
      <c r="I293" s="4">
        <v>58.8</v>
      </c>
      <c r="J293" s="4">
        <v>52.22</v>
      </c>
      <c r="K293" s="4">
        <f>Table1[[#This Row],[Quantity]]*Table1[[#This Row],[Negotiated_Price]]</f>
        <v>58799.72</v>
      </c>
      <c r="L293" s="4">
        <f>Table1[[#This Row],[Quantity]]*Table1[[#This Row],[Unit_Price]]</f>
        <v>66208.800000000003</v>
      </c>
      <c r="M293" s="4">
        <f>Table1[[#This Row],[Unit_Price]]-Table1[[#This Row],[Negotiated_Price]]</f>
        <v>6.5799999999999983</v>
      </c>
      <c r="N293" s="3">
        <f>(Table1[[#This Row],[Unit_Price]]-Table1[[#This Row],[Negotiated_Price]])/Table1[[#This Row],[Unit_Price]]</f>
        <v>0.11190476190476188</v>
      </c>
      <c r="P293" t="s">
        <v>15</v>
      </c>
      <c r="Q293">
        <f>IF(Table1[[#This Row],[Compliance]]="Yes", 1, 0)</f>
        <v>1</v>
      </c>
    </row>
    <row r="294" spans="1:17" x14ac:dyDescent="0.35">
      <c r="A294" t="s">
        <v>319</v>
      </c>
      <c r="B294" t="s">
        <v>29</v>
      </c>
      <c r="C294" s="1">
        <v>44804</v>
      </c>
      <c r="D294" s="1">
        <v>44816</v>
      </c>
      <c r="E294" s="1">
        <f>SUM(Table1[[#This Row],[Delivery_Date]]-Table1[[#This Row],[Order_Date]])</f>
        <v>12</v>
      </c>
      <c r="F294" t="s">
        <v>24</v>
      </c>
      <c r="G294" t="s">
        <v>18</v>
      </c>
      <c r="H294">
        <v>1757</v>
      </c>
      <c r="I294" s="4">
        <v>15.18</v>
      </c>
      <c r="J294" s="4">
        <v>13.06</v>
      </c>
      <c r="K294" s="4">
        <f>Table1[[#This Row],[Quantity]]*Table1[[#This Row],[Negotiated_Price]]</f>
        <v>22946.420000000002</v>
      </c>
      <c r="L294" s="4">
        <f>Table1[[#This Row],[Quantity]]*Table1[[#This Row],[Unit_Price]]</f>
        <v>26671.26</v>
      </c>
      <c r="M294" s="4">
        <f>Table1[[#This Row],[Unit_Price]]-Table1[[#This Row],[Negotiated_Price]]</f>
        <v>2.1199999999999992</v>
      </c>
      <c r="N294" s="3">
        <f>(Table1[[#This Row],[Unit_Price]]-Table1[[#This Row],[Negotiated_Price]])/Table1[[#This Row],[Unit_Price]]</f>
        <v>0.13965744400527005</v>
      </c>
      <c r="O294">
        <v>63</v>
      </c>
      <c r="P294" t="s">
        <v>15</v>
      </c>
      <c r="Q294">
        <f>IF(Table1[[#This Row],[Compliance]]="Yes", 1, 0)</f>
        <v>1</v>
      </c>
    </row>
    <row r="295" spans="1:17" x14ac:dyDescent="0.35">
      <c r="A295" t="s">
        <v>320</v>
      </c>
      <c r="B295" t="s">
        <v>29</v>
      </c>
      <c r="C295" s="1">
        <v>44732</v>
      </c>
      <c r="D295" s="1">
        <v>44740</v>
      </c>
      <c r="E295" s="1">
        <f>SUM(Table1[[#This Row],[Delivery_Date]]-Table1[[#This Row],[Order_Date]])</f>
        <v>8</v>
      </c>
      <c r="F295" t="s">
        <v>21</v>
      </c>
      <c r="G295" t="s">
        <v>18</v>
      </c>
      <c r="H295">
        <v>779</v>
      </c>
      <c r="I295" s="4">
        <v>41.3</v>
      </c>
      <c r="J295" s="4">
        <v>36.28</v>
      </c>
      <c r="K295" s="4">
        <f>Table1[[#This Row],[Quantity]]*Table1[[#This Row],[Negotiated_Price]]</f>
        <v>28262.120000000003</v>
      </c>
      <c r="L295" s="4">
        <f>Table1[[#This Row],[Quantity]]*Table1[[#This Row],[Unit_Price]]</f>
        <v>32172.699999999997</v>
      </c>
      <c r="M295" s="4">
        <f>Table1[[#This Row],[Unit_Price]]-Table1[[#This Row],[Negotiated_Price]]</f>
        <v>5.019999999999996</v>
      </c>
      <c r="N295" s="3">
        <f>(Table1[[#This Row],[Unit_Price]]-Table1[[#This Row],[Negotiated_Price]])/Table1[[#This Row],[Unit_Price]]</f>
        <v>0.121549636803874</v>
      </c>
      <c r="O295">
        <v>20</v>
      </c>
      <c r="P295" t="s">
        <v>15</v>
      </c>
      <c r="Q295">
        <f>IF(Table1[[#This Row],[Compliance]]="Yes", 1, 0)</f>
        <v>1</v>
      </c>
    </row>
    <row r="296" spans="1:17" x14ac:dyDescent="0.35">
      <c r="A296" t="s">
        <v>321</v>
      </c>
      <c r="B296" t="s">
        <v>17</v>
      </c>
      <c r="C296" s="1">
        <v>44978</v>
      </c>
      <c r="D296" s="1">
        <v>44979</v>
      </c>
      <c r="E296" s="1">
        <f>SUM(Table1[[#This Row],[Delivery_Date]]-Table1[[#This Row],[Order_Date]])</f>
        <v>1</v>
      </c>
      <c r="F296" t="s">
        <v>13</v>
      </c>
      <c r="G296" t="s">
        <v>18</v>
      </c>
      <c r="H296">
        <v>1745</v>
      </c>
      <c r="I296" s="4">
        <v>23.53</v>
      </c>
      <c r="J296" s="4">
        <v>22.57</v>
      </c>
      <c r="K296" s="4">
        <f>Table1[[#This Row],[Quantity]]*Table1[[#This Row],[Negotiated_Price]]</f>
        <v>39384.65</v>
      </c>
      <c r="L296" s="4">
        <f>Table1[[#This Row],[Quantity]]*Table1[[#This Row],[Unit_Price]]</f>
        <v>41059.85</v>
      </c>
      <c r="M296" s="4">
        <f>Table1[[#This Row],[Unit_Price]]-Table1[[#This Row],[Negotiated_Price]]</f>
        <v>0.96000000000000085</v>
      </c>
      <c r="N296" s="3">
        <f>(Table1[[#This Row],[Unit_Price]]-Table1[[#This Row],[Negotiated_Price]])/Table1[[#This Row],[Unit_Price]]</f>
        <v>4.07989800254994E-2</v>
      </c>
      <c r="O296">
        <v>282</v>
      </c>
      <c r="P296" t="s">
        <v>27</v>
      </c>
      <c r="Q296">
        <f>IF(Table1[[#This Row],[Compliance]]="Yes", 1, 0)</f>
        <v>0</v>
      </c>
    </row>
    <row r="297" spans="1:17" x14ac:dyDescent="0.35">
      <c r="A297" t="s">
        <v>322</v>
      </c>
      <c r="B297" t="s">
        <v>17</v>
      </c>
      <c r="C297" s="1">
        <v>45059</v>
      </c>
      <c r="D297" s="1">
        <v>45061</v>
      </c>
      <c r="E297" s="1">
        <f>SUM(Table1[[#This Row],[Delivery_Date]]-Table1[[#This Row],[Order_Date]])</f>
        <v>2</v>
      </c>
      <c r="F297" t="s">
        <v>26</v>
      </c>
      <c r="G297" t="s">
        <v>18</v>
      </c>
      <c r="H297">
        <v>1783</v>
      </c>
      <c r="I297" s="4">
        <v>16.96</v>
      </c>
      <c r="J297" s="4">
        <v>15.8</v>
      </c>
      <c r="K297" s="4">
        <f>Table1[[#This Row],[Quantity]]*Table1[[#This Row],[Negotiated_Price]]</f>
        <v>28171.4</v>
      </c>
      <c r="L297" s="4">
        <f>Table1[[#This Row],[Quantity]]*Table1[[#This Row],[Unit_Price]]</f>
        <v>30239.68</v>
      </c>
      <c r="M297" s="4">
        <f>Table1[[#This Row],[Unit_Price]]-Table1[[#This Row],[Negotiated_Price]]</f>
        <v>1.1600000000000001</v>
      </c>
      <c r="N297" s="3">
        <f>(Table1[[#This Row],[Unit_Price]]-Table1[[#This Row],[Negotiated_Price]])/Table1[[#This Row],[Unit_Price]]</f>
        <v>6.8396226415094338E-2</v>
      </c>
      <c r="O297">
        <v>295</v>
      </c>
      <c r="P297" t="s">
        <v>15</v>
      </c>
      <c r="Q297">
        <f>IF(Table1[[#This Row],[Compliance]]="Yes", 1, 0)</f>
        <v>1</v>
      </c>
    </row>
    <row r="298" spans="1:17" x14ac:dyDescent="0.35">
      <c r="A298" t="s">
        <v>323</v>
      </c>
      <c r="B298" t="s">
        <v>12</v>
      </c>
      <c r="C298" s="1">
        <v>45054</v>
      </c>
      <c r="D298" s="1">
        <v>45068</v>
      </c>
      <c r="E298" s="1">
        <f>SUM(Table1[[#This Row],[Delivery_Date]]-Table1[[#This Row],[Order_Date]])</f>
        <v>14</v>
      </c>
      <c r="F298" t="s">
        <v>13</v>
      </c>
      <c r="G298" t="s">
        <v>33</v>
      </c>
      <c r="H298">
        <v>1489</v>
      </c>
      <c r="I298" s="4">
        <v>107.02</v>
      </c>
      <c r="J298" s="4">
        <v>93.3</v>
      </c>
      <c r="K298" s="4">
        <f>Table1[[#This Row],[Quantity]]*Table1[[#This Row],[Negotiated_Price]]</f>
        <v>138923.69999999998</v>
      </c>
      <c r="L298" s="4">
        <f>Table1[[#This Row],[Quantity]]*Table1[[#This Row],[Unit_Price]]</f>
        <v>159352.78</v>
      </c>
      <c r="M298" s="4">
        <f>Table1[[#This Row],[Unit_Price]]-Table1[[#This Row],[Negotiated_Price]]</f>
        <v>13.719999999999999</v>
      </c>
      <c r="N298" s="3">
        <f>(Table1[[#This Row],[Unit_Price]]-Table1[[#This Row],[Negotiated_Price]])/Table1[[#This Row],[Unit_Price]]</f>
        <v>0.12820033638572229</v>
      </c>
      <c r="P298" t="s">
        <v>15</v>
      </c>
      <c r="Q298">
        <f>IF(Table1[[#This Row],[Compliance]]="Yes", 1, 0)</f>
        <v>1</v>
      </c>
    </row>
    <row r="299" spans="1:17" x14ac:dyDescent="0.35">
      <c r="A299" t="s">
        <v>324</v>
      </c>
      <c r="B299" t="s">
        <v>12</v>
      </c>
      <c r="C299" s="1">
        <v>44780</v>
      </c>
      <c r="D299" s="1">
        <v>44783</v>
      </c>
      <c r="E299" s="1">
        <f>SUM(Table1[[#This Row],[Delivery_Date]]-Table1[[#This Row],[Order_Date]])</f>
        <v>3</v>
      </c>
      <c r="F299" t="s">
        <v>13</v>
      </c>
      <c r="G299" t="s">
        <v>18</v>
      </c>
      <c r="H299">
        <v>296</v>
      </c>
      <c r="I299" s="4">
        <v>40.380000000000003</v>
      </c>
      <c r="J299" s="4">
        <v>35.25</v>
      </c>
      <c r="K299" s="4">
        <f>Table1[[#This Row],[Quantity]]*Table1[[#This Row],[Negotiated_Price]]</f>
        <v>10434</v>
      </c>
      <c r="L299" s="4">
        <f>Table1[[#This Row],[Quantity]]*Table1[[#This Row],[Unit_Price]]</f>
        <v>11952.480000000001</v>
      </c>
      <c r="M299" s="4">
        <f>Table1[[#This Row],[Unit_Price]]-Table1[[#This Row],[Negotiated_Price]]</f>
        <v>5.1300000000000026</v>
      </c>
      <c r="N299" s="3">
        <f>(Table1[[#This Row],[Unit_Price]]-Table1[[#This Row],[Negotiated_Price]])/Table1[[#This Row],[Unit_Price]]</f>
        <v>0.12704309063893021</v>
      </c>
      <c r="P299" t="s">
        <v>15</v>
      </c>
      <c r="Q299">
        <f>IF(Table1[[#This Row],[Compliance]]="Yes", 1, 0)</f>
        <v>1</v>
      </c>
    </row>
    <row r="300" spans="1:17" x14ac:dyDescent="0.35">
      <c r="A300" t="s">
        <v>325</v>
      </c>
      <c r="B300" t="s">
        <v>29</v>
      </c>
      <c r="C300" s="1">
        <v>44972</v>
      </c>
      <c r="D300" s="1">
        <v>44984</v>
      </c>
      <c r="E300" s="1">
        <f>SUM(Table1[[#This Row],[Delivery_Date]]-Table1[[#This Row],[Order_Date]])</f>
        <v>12</v>
      </c>
      <c r="F300" t="s">
        <v>21</v>
      </c>
      <c r="G300" t="s">
        <v>18</v>
      </c>
      <c r="H300">
        <v>885</v>
      </c>
      <c r="I300" s="4">
        <v>88.28</v>
      </c>
      <c r="J300" s="4">
        <v>80.8</v>
      </c>
      <c r="K300" s="4">
        <f>Table1[[#This Row],[Quantity]]*Table1[[#This Row],[Negotiated_Price]]</f>
        <v>71508</v>
      </c>
      <c r="L300" s="4">
        <f>Table1[[#This Row],[Quantity]]*Table1[[#This Row],[Unit_Price]]</f>
        <v>78127.8</v>
      </c>
      <c r="M300" s="4">
        <f>Table1[[#This Row],[Unit_Price]]-Table1[[#This Row],[Negotiated_Price]]</f>
        <v>7.480000000000004</v>
      </c>
      <c r="N300" s="3">
        <f>(Table1[[#This Row],[Unit_Price]]-Table1[[#This Row],[Negotiated_Price]])/Table1[[#This Row],[Unit_Price]]</f>
        <v>8.4730403262347126E-2</v>
      </c>
      <c r="O300">
        <v>31</v>
      </c>
      <c r="P300" t="s">
        <v>15</v>
      </c>
      <c r="Q300">
        <f>IF(Table1[[#This Row],[Compliance]]="Yes", 1, 0)</f>
        <v>1</v>
      </c>
    </row>
    <row r="301" spans="1:17" x14ac:dyDescent="0.35">
      <c r="A301" t="s">
        <v>326</v>
      </c>
      <c r="B301" t="s">
        <v>29</v>
      </c>
      <c r="C301" s="1">
        <v>44622</v>
      </c>
      <c r="D301" s="1">
        <v>44626</v>
      </c>
      <c r="E301" s="1">
        <f>SUM(Table1[[#This Row],[Delivery_Date]]-Table1[[#This Row],[Order_Date]])</f>
        <v>4</v>
      </c>
      <c r="F301" t="s">
        <v>26</v>
      </c>
      <c r="G301" t="s">
        <v>35</v>
      </c>
      <c r="H301">
        <v>1512</v>
      </c>
      <c r="I301" s="4">
        <v>33.25</v>
      </c>
      <c r="J301" s="4">
        <v>30.15</v>
      </c>
      <c r="K301" s="4">
        <f>Table1[[#This Row],[Quantity]]*Table1[[#This Row],[Negotiated_Price]]</f>
        <v>45586.799999999996</v>
      </c>
      <c r="L301" s="4">
        <f>Table1[[#This Row],[Quantity]]*Table1[[#This Row],[Unit_Price]]</f>
        <v>50274</v>
      </c>
      <c r="M301" s="4">
        <f>Table1[[#This Row],[Unit_Price]]-Table1[[#This Row],[Negotiated_Price]]</f>
        <v>3.1000000000000014</v>
      </c>
      <c r="N301" s="3">
        <f>(Table1[[#This Row],[Unit_Price]]-Table1[[#This Row],[Negotiated_Price]])/Table1[[#This Row],[Unit_Price]]</f>
        <v>9.3233082706766959E-2</v>
      </c>
      <c r="O301">
        <v>53</v>
      </c>
      <c r="P301" t="s">
        <v>15</v>
      </c>
      <c r="Q301">
        <f>IF(Table1[[#This Row],[Compliance]]="Yes", 1, 0)</f>
        <v>1</v>
      </c>
    </row>
    <row r="302" spans="1:17" x14ac:dyDescent="0.35">
      <c r="A302" t="s">
        <v>327</v>
      </c>
      <c r="B302" t="s">
        <v>17</v>
      </c>
      <c r="C302" s="1">
        <v>44730</v>
      </c>
      <c r="D302" s="1">
        <v>44738</v>
      </c>
      <c r="E302" s="1">
        <f>SUM(Table1[[#This Row],[Delivery_Date]]-Table1[[#This Row],[Order_Date]])</f>
        <v>8</v>
      </c>
      <c r="F302" t="s">
        <v>13</v>
      </c>
      <c r="G302" t="s">
        <v>18</v>
      </c>
      <c r="H302">
        <v>252</v>
      </c>
      <c r="I302" s="4">
        <v>73.12</v>
      </c>
      <c r="J302" s="4">
        <v>67.64</v>
      </c>
      <c r="K302" s="4">
        <f>Table1[[#This Row],[Quantity]]*Table1[[#This Row],[Negotiated_Price]]</f>
        <v>17045.28</v>
      </c>
      <c r="L302" s="4">
        <f>Table1[[#This Row],[Quantity]]*Table1[[#This Row],[Unit_Price]]</f>
        <v>18426.240000000002</v>
      </c>
      <c r="M302" s="4">
        <f>Table1[[#This Row],[Unit_Price]]-Table1[[#This Row],[Negotiated_Price]]</f>
        <v>5.480000000000004</v>
      </c>
      <c r="N302" s="3">
        <f>(Table1[[#This Row],[Unit_Price]]-Table1[[#This Row],[Negotiated_Price]])/Table1[[#This Row],[Unit_Price]]</f>
        <v>7.4945295404814052E-2</v>
      </c>
      <c r="P302" t="s">
        <v>27</v>
      </c>
      <c r="Q302">
        <f>IF(Table1[[#This Row],[Compliance]]="Yes", 1, 0)</f>
        <v>0</v>
      </c>
    </row>
    <row r="303" spans="1:17" hidden="1" x14ac:dyDescent="0.35">
      <c r="A303" t="s">
        <v>328</v>
      </c>
      <c r="B303" t="s">
        <v>12</v>
      </c>
      <c r="C303" s="1">
        <v>44950</v>
      </c>
      <c r="E303" s="1">
        <f>SUM(Table1[[#This Row],[Delivery_Date]]-Table1[[#This Row],[Order_Date]])</f>
        <v>-44950</v>
      </c>
      <c r="F303" t="s">
        <v>39</v>
      </c>
      <c r="G303" t="s">
        <v>14</v>
      </c>
      <c r="H303">
        <v>1257</v>
      </c>
      <c r="I303">
        <v>83.13</v>
      </c>
      <c r="J303">
        <v>81.89</v>
      </c>
      <c r="K303">
        <f>Table1[[#This Row],[Quantity]]*Table1[[#This Row],[Negotiated_Price]]</f>
        <v>102935.73</v>
      </c>
      <c r="L303" s="5">
        <f>Table1[[#This Row],[Quantity]]*Table1[[#This Row],[Unit_Price]]</f>
        <v>104494.40999999999</v>
      </c>
      <c r="M303">
        <f>Table1[[#This Row],[Unit_Price]]-Table1[[#This Row],[Negotiated_Price]]</f>
        <v>1.2399999999999949</v>
      </c>
      <c r="N303" s="2">
        <f>(Table1[[#This Row],[Unit_Price]]-Table1[[#This Row],[Negotiated_Price]])/Table1[[#This Row],[Unit_Price]]</f>
        <v>1.4916396006255201E-2</v>
      </c>
      <c r="O303">
        <v>30</v>
      </c>
      <c r="P303" t="s">
        <v>15</v>
      </c>
      <c r="Q303">
        <f>IF(Table1[[#This Row],[Compliance]]="Yes", 1, 0)</f>
        <v>1</v>
      </c>
    </row>
    <row r="304" spans="1:17" x14ac:dyDescent="0.35">
      <c r="A304" t="s">
        <v>329</v>
      </c>
      <c r="B304" t="s">
        <v>12</v>
      </c>
      <c r="C304" s="1">
        <v>44564</v>
      </c>
      <c r="D304" s="1">
        <v>44581</v>
      </c>
      <c r="E304" s="1">
        <f>SUM(Table1[[#This Row],[Delivery_Date]]-Table1[[#This Row],[Order_Date]])</f>
        <v>17</v>
      </c>
      <c r="F304" t="s">
        <v>24</v>
      </c>
      <c r="G304" t="s">
        <v>18</v>
      </c>
      <c r="H304">
        <v>172</v>
      </c>
      <c r="I304" s="4">
        <v>63.61</v>
      </c>
      <c r="J304" s="4">
        <v>55.92</v>
      </c>
      <c r="K304" s="4">
        <f>Table1[[#This Row],[Quantity]]*Table1[[#This Row],[Negotiated_Price]]</f>
        <v>9618.24</v>
      </c>
      <c r="L304" s="4">
        <f>Table1[[#This Row],[Quantity]]*Table1[[#This Row],[Unit_Price]]</f>
        <v>10940.92</v>
      </c>
      <c r="M304" s="4">
        <f>Table1[[#This Row],[Unit_Price]]-Table1[[#This Row],[Negotiated_Price]]</f>
        <v>7.6899999999999977</v>
      </c>
      <c r="N304" s="3">
        <f>(Table1[[#This Row],[Unit_Price]]-Table1[[#This Row],[Negotiated_Price]])/Table1[[#This Row],[Unit_Price]]</f>
        <v>0.12089294136142112</v>
      </c>
      <c r="O304">
        <v>4</v>
      </c>
      <c r="P304" t="s">
        <v>15</v>
      </c>
      <c r="Q304">
        <f>IF(Table1[[#This Row],[Compliance]]="Yes", 1, 0)</f>
        <v>1</v>
      </c>
    </row>
    <row r="305" spans="1:17" x14ac:dyDescent="0.35">
      <c r="A305" t="s">
        <v>330</v>
      </c>
      <c r="B305" t="s">
        <v>29</v>
      </c>
      <c r="C305" s="1">
        <v>44961</v>
      </c>
      <c r="D305" s="1">
        <v>44962</v>
      </c>
      <c r="E305" s="1">
        <f>SUM(Table1[[#This Row],[Delivery_Date]]-Table1[[#This Row],[Order_Date]])</f>
        <v>1</v>
      </c>
      <c r="F305" t="s">
        <v>24</v>
      </c>
      <c r="G305" t="s">
        <v>35</v>
      </c>
      <c r="H305">
        <v>450</v>
      </c>
      <c r="I305" s="4">
        <v>55.85</v>
      </c>
      <c r="J305" s="4">
        <v>49.88</v>
      </c>
      <c r="K305" s="4">
        <f>Table1[[#This Row],[Quantity]]*Table1[[#This Row],[Negotiated_Price]]</f>
        <v>22446</v>
      </c>
      <c r="L305" s="4">
        <f>Table1[[#This Row],[Quantity]]*Table1[[#This Row],[Unit_Price]]</f>
        <v>25132.5</v>
      </c>
      <c r="M305" s="4">
        <f>Table1[[#This Row],[Unit_Price]]-Table1[[#This Row],[Negotiated_Price]]</f>
        <v>5.9699999999999989</v>
      </c>
      <c r="N305" s="3">
        <f>(Table1[[#This Row],[Unit_Price]]-Table1[[#This Row],[Negotiated_Price]])/Table1[[#This Row],[Unit_Price]]</f>
        <v>0.10689346463742164</v>
      </c>
      <c r="O305">
        <v>9</v>
      </c>
      <c r="P305" t="s">
        <v>15</v>
      </c>
      <c r="Q305">
        <f>IF(Table1[[#This Row],[Compliance]]="Yes", 1, 0)</f>
        <v>1</v>
      </c>
    </row>
    <row r="306" spans="1:17" x14ac:dyDescent="0.35">
      <c r="A306" t="s">
        <v>331</v>
      </c>
      <c r="B306" t="s">
        <v>20</v>
      </c>
      <c r="C306" s="1">
        <v>44833</v>
      </c>
      <c r="D306" s="1">
        <v>44849</v>
      </c>
      <c r="E306" s="1">
        <f>SUM(Table1[[#This Row],[Delivery_Date]]-Table1[[#This Row],[Order_Date]])</f>
        <v>16</v>
      </c>
      <c r="F306" t="s">
        <v>39</v>
      </c>
      <c r="G306" t="s">
        <v>18</v>
      </c>
      <c r="H306">
        <v>816</v>
      </c>
      <c r="I306" s="4">
        <v>48.95</v>
      </c>
      <c r="J306" s="4">
        <v>43.42</v>
      </c>
      <c r="K306" s="4">
        <f>Table1[[#This Row],[Quantity]]*Table1[[#This Row],[Negotiated_Price]]</f>
        <v>35430.720000000001</v>
      </c>
      <c r="L306" s="4">
        <f>Table1[[#This Row],[Quantity]]*Table1[[#This Row],[Unit_Price]]</f>
        <v>39943.200000000004</v>
      </c>
      <c r="M306" s="4">
        <f>Table1[[#This Row],[Unit_Price]]-Table1[[#This Row],[Negotiated_Price]]</f>
        <v>5.5300000000000011</v>
      </c>
      <c r="N306" s="3">
        <f>(Table1[[#This Row],[Unit_Price]]-Table1[[#This Row],[Negotiated_Price]])/Table1[[#This Row],[Unit_Price]]</f>
        <v>0.11297242083758939</v>
      </c>
      <c r="O306">
        <v>45</v>
      </c>
      <c r="P306" t="s">
        <v>15</v>
      </c>
      <c r="Q306">
        <f>IF(Table1[[#This Row],[Compliance]]="Yes", 1, 0)</f>
        <v>1</v>
      </c>
    </row>
    <row r="307" spans="1:17" x14ac:dyDescent="0.35">
      <c r="A307" t="s">
        <v>332</v>
      </c>
      <c r="B307" t="s">
        <v>29</v>
      </c>
      <c r="C307" s="1">
        <v>45027</v>
      </c>
      <c r="D307" s="1">
        <v>45041</v>
      </c>
      <c r="E307" s="1">
        <f>SUM(Table1[[#This Row],[Delivery_Date]]-Table1[[#This Row],[Order_Date]])</f>
        <v>14</v>
      </c>
      <c r="F307" t="s">
        <v>24</v>
      </c>
      <c r="G307" t="s">
        <v>18</v>
      </c>
      <c r="H307">
        <v>343</v>
      </c>
      <c r="I307" s="4">
        <v>44.5</v>
      </c>
      <c r="J307" s="4">
        <v>38.57</v>
      </c>
      <c r="K307" s="4">
        <f>Table1[[#This Row],[Quantity]]*Table1[[#This Row],[Negotiated_Price]]</f>
        <v>13229.51</v>
      </c>
      <c r="L307" s="4">
        <f>Table1[[#This Row],[Quantity]]*Table1[[#This Row],[Unit_Price]]</f>
        <v>15263.5</v>
      </c>
      <c r="M307" s="4">
        <f>Table1[[#This Row],[Unit_Price]]-Table1[[#This Row],[Negotiated_Price]]</f>
        <v>5.93</v>
      </c>
      <c r="N307" s="3">
        <f>(Table1[[#This Row],[Unit_Price]]-Table1[[#This Row],[Negotiated_Price]])/Table1[[#This Row],[Unit_Price]]</f>
        <v>0.13325842696629212</v>
      </c>
      <c r="O307">
        <v>7</v>
      </c>
      <c r="P307" t="s">
        <v>15</v>
      </c>
      <c r="Q307">
        <f>IF(Table1[[#This Row],[Compliance]]="Yes", 1, 0)</f>
        <v>1</v>
      </c>
    </row>
    <row r="308" spans="1:17" x14ac:dyDescent="0.35">
      <c r="A308" t="s">
        <v>333</v>
      </c>
      <c r="B308" t="s">
        <v>20</v>
      </c>
      <c r="C308" s="1">
        <v>44854</v>
      </c>
      <c r="D308" s="1">
        <v>44870</v>
      </c>
      <c r="E308" s="1">
        <f>SUM(Table1[[#This Row],[Delivery_Date]]-Table1[[#This Row],[Order_Date]])</f>
        <v>16</v>
      </c>
      <c r="F308" t="s">
        <v>21</v>
      </c>
      <c r="G308" t="s">
        <v>18</v>
      </c>
      <c r="H308">
        <v>329</v>
      </c>
      <c r="I308" s="4">
        <v>97.87</v>
      </c>
      <c r="J308" s="4">
        <v>85.35</v>
      </c>
      <c r="K308" s="4">
        <f>Table1[[#This Row],[Quantity]]*Table1[[#This Row],[Negotiated_Price]]</f>
        <v>28080.149999999998</v>
      </c>
      <c r="L308" s="4">
        <f>Table1[[#This Row],[Quantity]]*Table1[[#This Row],[Unit_Price]]</f>
        <v>32199.230000000003</v>
      </c>
      <c r="M308" s="4">
        <f>Table1[[#This Row],[Unit_Price]]-Table1[[#This Row],[Negotiated_Price]]</f>
        <v>12.52000000000001</v>
      </c>
      <c r="N308" s="3">
        <f>(Table1[[#This Row],[Unit_Price]]-Table1[[#This Row],[Negotiated_Price]])/Table1[[#This Row],[Unit_Price]]</f>
        <v>0.12792479820169622</v>
      </c>
      <c r="O308">
        <v>21</v>
      </c>
      <c r="P308" t="s">
        <v>27</v>
      </c>
      <c r="Q308">
        <f>IF(Table1[[#This Row],[Compliance]]="Yes", 1, 0)</f>
        <v>0</v>
      </c>
    </row>
    <row r="309" spans="1:17" x14ac:dyDescent="0.35">
      <c r="A309" t="s">
        <v>334</v>
      </c>
      <c r="B309" t="s">
        <v>12</v>
      </c>
      <c r="C309" s="1">
        <v>44995</v>
      </c>
      <c r="D309" s="1">
        <v>45010</v>
      </c>
      <c r="E309" s="1">
        <f>SUM(Table1[[#This Row],[Delivery_Date]]-Table1[[#This Row],[Order_Date]])</f>
        <v>15</v>
      </c>
      <c r="F309" t="s">
        <v>39</v>
      </c>
      <c r="G309" t="s">
        <v>18</v>
      </c>
      <c r="H309">
        <v>1910</v>
      </c>
      <c r="I309" s="4">
        <v>90.69</v>
      </c>
      <c r="J309" s="4">
        <v>85.8</v>
      </c>
      <c r="K309" s="4">
        <f>Table1[[#This Row],[Quantity]]*Table1[[#This Row],[Negotiated_Price]]</f>
        <v>163878</v>
      </c>
      <c r="L309" s="4">
        <f>Table1[[#This Row],[Quantity]]*Table1[[#This Row],[Unit_Price]]</f>
        <v>173217.9</v>
      </c>
      <c r="M309" s="4">
        <f>Table1[[#This Row],[Unit_Price]]-Table1[[#This Row],[Negotiated_Price]]</f>
        <v>4.8900000000000006</v>
      </c>
      <c r="N309" s="3">
        <f>(Table1[[#This Row],[Unit_Price]]-Table1[[#This Row],[Negotiated_Price]])/Table1[[#This Row],[Unit_Price]]</f>
        <v>5.3919947072444602E-2</v>
      </c>
      <c r="P309" t="s">
        <v>15</v>
      </c>
      <c r="Q309">
        <f>IF(Table1[[#This Row],[Compliance]]="Yes", 1, 0)</f>
        <v>1</v>
      </c>
    </row>
    <row r="310" spans="1:17" x14ac:dyDescent="0.35">
      <c r="A310" t="s">
        <v>335</v>
      </c>
      <c r="B310" t="s">
        <v>29</v>
      </c>
      <c r="C310" s="1">
        <v>45275</v>
      </c>
      <c r="D310" s="1">
        <v>45278</v>
      </c>
      <c r="E310" s="1">
        <f>SUM(Table1[[#This Row],[Delivery_Date]]-Table1[[#This Row],[Order_Date]])</f>
        <v>3</v>
      </c>
      <c r="F310" t="s">
        <v>21</v>
      </c>
      <c r="G310" t="s">
        <v>18</v>
      </c>
      <c r="H310">
        <v>933</v>
      </c>
      <c r="I310" s="4">
        <v>107.99</v>
      </c>
      <c r="J310" s="4">
        <v>104.29</v>
      </c>
      <c r="K310" s="4">
        <f>Table1[[#This Row],[Quantity]]*Table1[[#This Row],[Negotiated_Price]]</f>
        <v>97302.57</v>
      </c>
      <c r="L310" s="4">
        <f>Table1[[#This Row],[Quantity]]*Table1[[#This Row],[Unit_Price]]</f>
        <v>100754.67</v>
      </c>
      <c r="M310" s="4">
        <f>Table1[[#This Row],[Unit_Price]]-Table1[[#This Row],[Negotiated_Price]]</f>
        <v>3.6999999999999886</v>
      </c>
      <c r="N310" s="3">
        <f>(Table1[[#This Row],[Unit_Price]]-Table1[[#This Row],[Negotiated_Price]])/Table1[[#This Row],[Unit_Price]]</f>
        <v>3.4262431706639403E-2</v>
      </c>
      <c r="O310">
        <v>29</v>
      </c>
      <c r="P310" t="s">
        <v>15</v>
      </c>
      <c r="Q310">
        <f>IF(Table1[[#This Row],[Compliance]]="Yes", 1, 0)</f>
        <v>1</v>
      </c>
    </row>
    <row r="311" spans="1:17" x14ac:dyDescent="0.35">
      <c r="A311" t="s">
        <v>336</v>
      </c>
      <c r="B311" t="s">
        <v>17</v>
      </c>
      <c r="C311" s="1">
        <v>45131</v>
      </c>
      <c r="D311" s="1">
        <v>45136</v>
      </c>
      <c r="E311" s="1">
        <f>SUM(Table1[[#This Row],[Delivery_Date]]-Table1[[#This Row],[Order_Date]])</f>
        <v>5</v>
      </c>
      <c r="F311" t="s">
        <v>26</v>
      </c>
      <c r="G311" t="s">
        <v>18</v>
      </c>
      <c r="H311">
        <v>1683</v>
      </c>
      <c r="I311" s="4">
        <v>23.09</v>
      </c>
      <c r="J311" s="4">
        <v>21.88</v>
      </c>
      <c r="K311" s="4">
        <f>Table1[[#This Row],[Quantity]]*Table1[[#This Row],[Negotiated_Price]]</f>
        <v>36824.04</v>
      </c>
      <c r="L311" s="4">
        <f>Table1[[#This Row],[Quantity]]*Table1[[#This Row],[Unit_Price]]</f>
        <v>38860.47</v>
      </c>
      <c r="M311" s="4">
        <f>Table1[[#This Row],[Unit_Price]]-Table1[[#This Row],[Negotiated_Price]]</f>
        <v>1.2100000000000009</v>
      </c>
      <c r="N311" s="3">
        <f>(Table1[[#This Row],[Unit_Price]]-Table1[[#This Row],[Negotiated_Price]])/Table1[[#This Row],[Unit_Price]]</f>
        <v>5.240363793850155E-2</v>
      </c>
      <c r="O311">
        <v>253</v>
      </c>
      <c r="P311" t="s">
        <v>15</v>
      </c>
      <c r="Q311">
        <f>IF(Table1[[#This Row],[Compliance]]="Yes", 1, 0)</f>
        <v>1</v>
      </c>
    </row>
    <row r="312" spans="1:17" x14ac:dyDescent="0.35">
      <c r="A312" t="s">
        <v>337</v>
      </c>
      <c r="B312" t="s">
        <v>23</v>
      </c>
      <c r="C312" s="1">
        <v>45239</v>
      </c>
      <c r="D312" s="1">
        <v>45248</v>
      </c>
      <c r="E312" s="1">
        <f>SUM(Table1[[#This Row],[Delivery_Date]]-Table1[[#This Row],[Order_Date]])</f>
        <v>9</v>
      </c>
      <c r="F312" t="s">
        <v>24</v>
      </c>
      <c r="G312" t="s">
        <v>35</v>
      </c>
      <c r="H312">
        <v>247</v>
      </c>
      <c r="I312" s="4">
        <v>84.11</v>
      </c>
      <c r="J312" s="4">
        <v>71.97</v>
      </c>
      <c r="K312" s="4">
        <f>Table1[[#This Row],[Quantity]]*Table1[[#This Row],[Negotiated_Price]]</f>
        <v>17776.59</v>
      </c>
      <c r="L312" s="4">
        <f>Table1[[#This Row],[Quantity]]*Table1[[#This Row],[Unit_Price]]</f>
        <v>20775.169999999998</v>
      </c>
      <c r="M312" s="4">
        <f>Table1[[#This Row],[Unit_Price]]-Table1[[#This Row],[Negotiated_Price]]</f>
        <v>12.14</v>
      </c>
      <c r="N312" s="3">
        <f>(Table1[[#This Row],[Unit_Price]]-Table1[[#This Row],[Negotiated_Price]])/Table1[[#This Row],[Unit_Price]]</f>
        <v>0.14433479966710261</v>
      </c>
      <c r="P312" t="s">
        <v>15</v>
      </c>
      <c r="Q312">
        <f>IF(Table1[[#This Row],[Compliance]]="Yes", 1, 0)</f>
        <v>1</v>
      </c>
    </row>
    <row r="313" spans="1:17" x14ac:dyDescent="0.35">
      <c r="A313" t="s">
        <v>338</v>
      </c>
      <c r="B313" t="s">
        <v>12</v>
      </c>
      <c r="C313" s="1">
        <v>45060</v>
      </c>
      <c r="D313" s="1">
        <v>45079</v>
      </c>
      <c r="E313" s="1">
        <f>SUM(Table1[[#This Row],[Delivery_Date]]-Table1[[#This Row],[Order_Date]])</f>
        <v>19</v>
      </c>
      <c r="F313" t="s">
        <v>21</v>
      </c>
      <c r="G313" t="s">
        <v>18</v>
      </c>
      <c r="H313">
        <v>1031</v>
      </c>
      <c r="I313" s="4">
        <v>102.01</v>
      </c>
      <c r="J313" s="4">
        <v>98.65</v>
      </c>
      <c r="K313" s="4">
        <f>Table1[[#This Row],[Quantity]]*Table1[[#This Row],[Negotiated_Price]]</f>
        <v>101708.15000000001</v>
      </c>
      <c r="L313" s="4">
        <f>Table1[[#This Row],[Quantity]]*Table1[[#This Row],[Unit_Price]]</f>
        <v>105172.31000000001</v>
      </c>
      <c r="M313" s="4">
        <f>Table1[[#This Row],[Unit_Price]]-Table1[[#This Row],[Negotiated_Price]]</f>
        <v>3.3599999999999994</v>
      </c>
      <c r="N313" s="3">
        <f>(Table1[[#This Row],[Unit_Price]]-Table1[[#This Row],[Negotiated_Price]])/Table1[[#This Row],[Unit_Price]]</f>
        <v>3.2937947260072535E-2</v>
      </c>
      <c r="P313" t="s">
        <v>15</v>
      </c>
      <c r="Q313">
        <f>IF(Table1[[#This Row],[Compliance]]="Yes", 1, 0)</f>
        <v>1</v>
      </c>
    </row>
    <row r="314" spans="1:17" x14ac:dyDescent="0.35">
      <c r="A314" t="s">
        <v>339</v>
      </c>
      <c r="B314" t="s">
        <v>12</v>
      </c>
      <c r="C314" s="1">
        <v>44720</v>
      </c>
      <c r="D314" s="1">
        <v>44731</v>
      </c>
      <c r="E314" s="1">
        <f>SUM(Table1[[#This Row],[Delivery_Date]]-Table1[[#This Row],[Order_Date]])</f>
        <v>11</v>
      </c>
      <c r="F314" t="s">
        <v>24</v>
      </c>
      <c r="G314" t="s">
        <v>18</v>
      </c>
      <c r="H314">
        <v>1980</v>
      </c>
      <c r="I314" s="4">
        <v>26.97</v>
      </c>
      <c r="J314" s="4">
        <v>24.16</v>
      </c>
      <c r="K314" s="4">
        <f>Table1[[#This Row],[Quantity]]*Table1[[#This Row],[Negotiated_Price]]</f>
        <v>47836.800000000003</v>
      </c>
      <c r="L314" s="4">
        <f>Table1[[#This Row],[Quantity]]*Table1[[#This Row],[Unit_Price]]</f>
        <v>53400.6</v>
      </c>
      <c r="M314" s="4">
        <f>Table1[[#This Row],[Unit_Price]]-Table1[[#This Row],[Negotiated_Price]]</f>
        <v>2.8099999999999987</v>
      </c>
      <c r="N314" s="3">
        <f>(Table1[[#This Row],[Unit_Price]]-Table1[[#This Row],[Negotiated_Price]])/Table1[[#This Row],[Unit_Price]]</f>
        <v>0.10418984056358913</v>
      </c>
      <c r="O314">
        <v>41</v>
      </c>
      <c r="P314" t="s">
        <v>15</v>
      </c>
      <c r="Q314">
        <f>IF(Table1[[#This Row],[Compliance]]="Yes", 1, 0)</f>
        <v>1</v>
      </c>
    </row>
    <row r="315" spans="1:17" x14ac:dyDescent="0.35">
      <c r="A315" t="s">
        <v>340</v>
      </c>
      <c r="B315" t="s">
        <v>29</v>
      </c>
      <c r="C315" s="1">
        <v>44756</v>
      </c>
      <c r="D315" s="1">
        <v>44776</v>
      </c>
      <c r="E315" s="1">
        <f>SUM(Table1[[#This Row],[Delivery_Date]]-Table1[[#This Row],[Order_Date]])</f>
        <v>20</v>
      </c>
      <c r="F315" t="s">
        <v>26</v>
      </c>
      <c r="G315" t="s">
        <v>18</v>
      </c>
      <c r="H315">
        <v>1584</v>
      </c>
      <c r="I315" s="4">
        <v>16.46</v>
      </c>
      <c r="J315" s="4">
        <v>14.2</v>
      </c>
      <c r="K315" s="4">
        <f>Table1[[#This Row],[Quantity]]*Table1[[#This Row],[Negotiated_Price]]</f>
        <v>22492.799999999999</v>
      </c>
      <c r="L315" s="4">
        <f>Table1[[#This Row],[Quantity]]*Table1[[#This Row],[Unit_Price]]</f>
        <v>26072.640000000003</v>
      </c>
      <c r="M315" s="4">
        <f>Table1[[#This Row],[Unit_Price]]-Table1[[#This Row],[Negotiated_Price]]</f>
        <v>2.2600000000000016</v>
      </c>
      <c r="N315" s="3">
        <f>(Table1[[#This Row],[Unit_Price]]-Table1[[#This Row],[Negotiated_Price]])/Table1[[#This Row],[Unit_Price]]</f>
        <v>0.1373025516403403</v>
      </c>
      <c r="O315">
        <v>57</v>
      </c>
      <c r="P315" t="s">
        <v>15</v>
      </c>
      <c r="Q315">
        <f>IF(Table1[[#This Row],[Compliance]]="Yes", 1, 0)</f>
        <v>1</v>
      </c>
    </row>
    <row r="316" spans="1:17" x14ac:dyDescent="0.35">
      <c r="A316" t="s">
        <v>341</v>
      </c>
      <c r="B316" t="s">
        <v>23</v>
      </c>
      <c r="C316" s="1">
        <v>44865</v>
      </c>
      <c r="D316" s="1">
        <v>44880</v>
      </c>
      <c r="E316" s="1">
        <f>SUM(Table1[[#This Row],[Delivery_Date]]-Table1[[#This Row],[Order_Date]])</f>
        <v>15</v>
      </c>
      <c r="F316" t="s">
        <v>13</v>
      </c>
      <c r="G316" t="s">
        <v>18</v>
      </c>
      <c r="H316">
        <v>801</v>
      </c>
      <c r="I316" s="4">
        <v>80.150000000000006</v>
      </c>
      <c r="J316" s="4">
        <v>70.91</v>
      </c>
      <c r="K316" s="4">
        <f>Table1[[#This Row],[Quantity]]*Table1[[#This Row],[Negotiated_Price]]</f>
        <v>56798.909999999996</v>
      </c>
      <c r="L316" s="4">
        <f>Table1[[#This Row],[Quantity]]*Table1[[#This Row],[Unit_Price]]</f>
        <v>64200.15</v>
      </c>
      <c r="M316" s="4">
        <f>Table1[[#This Row],[Unit_Price]]-Table1[[#This Row],[Negotiated_Price]]</f>
        <v>9.2400000000000091</v>
      </c>
      <c r="N316" s="3">
        <f>(Table1[[#This Row],[Unit_Price]]-Table1[[#This Row],[Negotiated_Price]])/Table1[[#This Row],[Unit_Price]]</f>
        <v>0.11528384279475994</v>
      </c>
      <c r="P316" t="s">
        <v>15</v>
      </c>
      <c r="Q316">
        <f>IF(Table1[[#This Row],[Compliance]]="Yes", 1, 0)</f>
        <v>1</v>
      </c>
    </row>
    <row r="317" spans="1:17" x14ac:dyDescent="0.35">
      <c r="A317" t="s">
        <v>342</v>
      </c>
      <c r="B317" t="s">
        <v>23</v>
      </c>
      <c r="C317" s="1">
        <v>44784</v>
      </c>
      <c r="D317" s="1">
        <v>44798</v>
      </c>
      <c r="E317" s="1">
        <f>SUM(Table1[[#This Row],[Delivery_Date]]-Table1[[#This Row],[Order_Date]])</f>
        <v>14</v>
      </c>
      <c r="F317" t="s">
        <v>24</v>
      </c>
      <c r="G317" t="s">
        <v>18</v>
      </c>
      <c r="H317">
        <v>193</v>
      </c>
      <c r="I317" s="4">
        <v>63.86</v>
      </c>
      <c r="J317" s="4">
        <v>57.46</v>
      </c>
      <c r="K317" s="4">
        <f>Table1[[#This Row],[Quantity]]*Table1[[#This Row],[Negotiated_Price]]</f>
        <v>11089.78</v>
      </c>
      <c r="L317" s="4">
        <f>Table1[[#This Row],[Quantity]]*Table1[[#This Row],[Unit_Price]]</f>
        <v>12324.98</v>
      </c>
      <c r="M317" s="4">
        <f>Table1[[#This Row],[Unit_Price]]-Table1[[#This Row],[Negotiated_Price]]</f>
        <v>6.3999999999999986</v>
      </c>
      <c r="N317" s="3">
        <f>(Table1[[#This Row],[Unit_Price]]-Table1[[#This Row],[Negotiated_Price]])/Table1[[#This Row],[Unit_Price]]</f>
        <v>0.1002192295646727</v>
      </c>
      <c r="P317" t="s">
        <v>15</v>
      </c>
      <c r="Q317">
        <f>IF(Table1[[#This Row],[Compliance]]="Yes", 1, 0)</f>
        <v>1</v>
      </c>
    </row>
    <row r="318" spans="1:17" x14ac:dyDescent="0.35">
      <c r="A318" t="s">
        <v>343</v>
      </c>
      <c r="B318" t="s">
        <v>23</v>
      </c>
      <c r="C318" s="1">
        <v>44621</v>
      </c>
      <c r="D318" s="1">
        <v>44625</v>
      </c>
      <c r="E318" s="1">
        <f>SUM(Table1[[#This Row],[Delivery_Date]]-Table1[[#This Row],[Order_Date]])</f>
        <v>4</v>
      </c>
      <c r="F318" t="s">
        <v>26</v>
      </c>
      <c r="G318" t="s">
        <v>18</v>
      </c>
      <c r="H318">
        <v>658</v>
      </c>
      <c r="I318" s="4">
        <v>86.62</v>
      </c>
      <c r="J318" s="4">
        <v>79.849999999999994</v>
      </c>
      <c r="K318" s="4">
        <f>Table1[[#This Row],[Quantity]]*Table1[[#This Row],[Negotiated_Price]]</f>
        <v>52541.299999999996</v>
      </c>
      <c r="L318" s="4">
        <f>Table1[[#This Row],[Quantity]]*Table1[[#This Row],[Unit_Price]]</f>
        <v>56995.960000000006</v>
      </c>
      <c r="M318" s="4">
        <f>Table1[[#This Row],[Unit_Price]]-Table1[[#This Row],[Negotiated_Price]]</f>
        <v>6.7700000000000102</v>
      </c>
      <c r="N318" s="3">
        <f>(Table1[[#This Row],[Unit_Price]]-Table1[[#This Row],[Negotiated_Price]])/Table1[[#This Row],[Unit_Price]]</f>
        <v>7.8157469406603675E-2</v>
      </c>
      <c r="O318">
        <v>72</v>
      </c>
      <c r="P318" t="s">
        <v>15</v>
      </c>
      <c r="Q318">
        <f>IF(Table1[[#This Row],[Compliance]]="Yes", 1, 0)</f>
        <v>1</v>
      </c>
    </row>
    <row r="319" spans="1:17" x14ac:dyDescent="0.35">
      <c r="A319" t="s">
        <v>344</v>
      </c>
      <c r="B319" t="s">
        <v>29</v>
      </c>
      <c r="C319" s="1">
        <v>45155</v>
      </c>
      <c r="D319" s="1">
        <v>45173</v>
      </c>
      <c r="E319" s="1">
        <f>SUM(Table1[[#This Row],[Delivery_Date]]-Table1[[#This Row],[Order_Date]])</f>
        <v>18</v>
      </c>
      <c r="F319" t="s">
        <v>39</v>
      </c>
      <c r="G319" t="s">
        <v>18</v>
      </c>
      <c r="H319">
        <v>1274</v>
      </c>
      <c r="I319" s="4">
        <v>24.72</v>
      </c>
      <c r="J319" s="4">
        <v>23.36</v>
      </c>
      <c r="K319" s="4">
        <f>Table1[[#This Row],[Quantity]]*Table1[[#This Row],[Negotiated_Price]]</f>
        <v>29760.639999999999</v>
      </c>
      <c r="L319" s="4">
        <f>Table1[[#This Row],[Quantity]]*Table1[[#This Row],[Unit_Price]]</f>
        <v>31493.279999999999</v>
      </c>
      <c r="M319" s="4">
        <f>Table1[[#This Row],[Unit_Price]]-Table1[[#This Row],[Negotiated_Price]]</f>
        <v>1.3599999999999994</v>
      </c>
      <c r="N319" s="3">
        <f>(Table1[[#This Row],[Unit_Price]]-Table1[[#This Row],[Negotiated_Price]])/Table1[[#This Row],[Unit_Price]]</f>
        <v>5.5016181229773441E-2</v>
      </c>
      <c r="O319">
        <v>37</v>
      </c>
      <c r="P319" t="s">
        <v>15</v>
      </c>
      <c r="Q319">
        <f>IF(Table1[[#This Row],[Compliance]]="Yes", 1, 0)</f>
        <v>1</v>
      </c>
    </row>
    <row r="320" spans="1:17" x14ac:dyDescent="0.35">
      <c r="A320" t="s">
        <v>345</v>
      </c>
      <c r="B320" t="s">
        <v>29</v>
      </c>
      <c r="C320" s="1">
        <v>45117</v>
      </c>
      <c r="D320" s="1">
        <v>45124</v>
      </c>
      <c r="E320" s="1">
        <f>SUM(Table1[[#This Row],[Delivery_Date]]-Table1[[#This Row],[Order_Date]])</f>
        <v>7</v>
      </c>
      <c r="F320" t="s">
        <v>24</v>
      </c>
      <c r="G320" t="s">
        <v>33</v>
      </c>
      <c r="H320">
        <v>1197</v>
      </c>
      <c r="I320" s="4">
        <v>88.92</v>
      </c>
      <c r="J320" s="4">
        <v>78.819999999999993</v>
      </c>
      <c r="K320" s="4">
        <f>Table1[[#This Row],[Quantity]]*Table1[[#This Row],[Negotiated_Price]]</f>
        <v>94347.54</v>
      </c>
      <c r="L320" s="4">
        <f>Table1[[#This Row],[Quantity]]*Table1[[#This Row],[Unit_Price]]</f>
        <v>106437.24</v>
      </c>
      <c r="M320" s="4">
        <f>Table1[[#This Row],[Unit_Price]]-Table1[[#This Row],[Negotiated_Price]]</f>
        <v>10.100000000000009</v>
      </c>
      <c r="N320" s="3">
        <f>(Table1[[#This Row],[Unit_Price]]-Table1[[#This Row],[Negotiated_Price]])/Table1[[#This Row],[Unit_Price]]</f>
        <v>0.11358524516419263</v>
      </c>
      <c r="O320">
        <v>31</v>
      </c>
      <c r="P320" t="s">
        <v>15</v>
      </c>
      <c r="Q320">
        <f>IF(Table1[[#This Row],[Compliance]]="Yes", 1, 0)</f>
        <v>1</v>
      </c>
    </row>
    <row r="321" spans="1:17" x14ac:dyDescent="0.35">
      <c r="A321" t="s">
        <v>346</v>
      </c>
      <c r="B321" t="s">
        <v>20</v>
      </c>
      <c r="C321" s="1">
        <v>44624</v>
      </c>
      <c r="D321" s="1">
        <v>44632</v>
      </c>
      <c r="E321" s="1">
        <f>SUM(Table1[[#This Row],[Delivery_Date]]-Table1[[#This Row],[Order_Date]])</f>
        <v>8</v>
      </c>
      <c r="F321" t="s">
        <v>39</v>
      </c>
      <c r="G321" t="s">
        <v>18</v>
      </c>
      <c r="H321">
        <v>236</v>
      </c>
      <c r="I321" s="4">
        <v>28.43</v>
      </c>
      <c r="J321" s="4">
        <v>28.11</v>
      </c>
      <c r="K321" s="4">
        <f>Table1[[#This Row],[Quantity]]*Table1[[#This Row],[Negotiated_Price]]</f>
        <v>6633.96</v>
      </c>
      <c r="L321" s="4">
        <f>Table1[[#This Row],[Quantity]]*Table1[[#This Row],[Unit_Price]]</f>
        <v>6709.48</v>
      </c>
      <c r="M321" s="4">
        <f>Table1[[#This Row],[Unit_Price]]-Table1[[#This Row],[Negotiated_Price]]</f>
        <v>0.32000000000000028</v>
      </c>
      <c r="N321" s="3">
        <f>(Table1[[#This Row],[Unit_Price]]-Table1[[#This Row],[Negotiated_Price]])/Table1[[#This Row],[Unit_Price]]</f>
        <v>1.1255715793176232E-2</v>
      </c>
      <c r="O321">
        <v>11</v>
      </c>
      <c r="P321" t="s">
        <v>15</v>
      </c>
      <c r="Q321">
        <f>IF(Table1[[#This Row],[Compliance]]="Yes", 1, 0)</f>
        <v>1</v>
      </c>
    </row>
    <row r="322" spans="1:17" x14ac:dyDescent="0.35">
      <c r="A322" t="s">
        <v>347</v>
      </c>
      <c r="B322" t="s">
        <v>20</v>
      </c>
      <c r="C322" s="1">
        <v>44883</v>
      </c>
      <c r="D322" s="1">
        <v>44898</v>
      </c>
      <c r="E322" s="1">
        <f>SUM(Table1[[#This Row],[Delivery_Date]]-Table1[[#This Row],[Order_Date]])</f>
        <v>15</v>
      </c>
      <c r="F322" t="s">
        <v>26</v>
      </c>
      <c r="G322" t="s">
        <v>33</v>
      </c>
      <c r="H322">
        <v>1399</v>
      </c>
      <c r="I322" s="4">
        <v>25.97</v>
      </c>
      <c r="J322" s="4">
        <v>22.19</v>
      </c>
      <c r="K322" s="4">
        <f>Table1[[#This Row],[Quantity]]*Table1[[#This Row],[Negotiated_Price]]</f>
        <v>31043.81</v>
      </c>
      <c r="L322" s="4">
        <f>Table1[[#This Row],[Quantity]]*Table1[[#This Row],[Unit_Price]]</f>
        <v>36332.03</v>
      </c>
      <c r="M322" s="4">
        <f>Table1[[#This Row],[Unit_Price]]-Table1[[#This Row],[Negotiated_Price]]</f>
        <v>3.7799999999999976</v>
      </c>
      <c r="N322" s="3">
        <f>(Table1[[#This Row],[Unit_Price]]-Table1[[#This Row],[Negotiated_Price]])/Table1[[#This Row],[Unit_Price]]</f>
        <v>0.14555256064690017</v>
      </c>
      <c r="O322">
        <v>62</v>
      </c>
      <c r="P322" t="s">
        <v>15</v>
      </c>
      <c r="Q322">
        <f>IF(Table1[[#This Row],[Compliance]]="Yes", 1, 0)</f>
        <v>1</v>
      </c>
    </row>
    <row r="323" spans="1:17" x14ac:dyDescent="0.35">
      <c r="A323" t="s">
        <v>348</v>
      </c>
      <c r="B323" t="s">
        <v>20</v>
      </c>
      <c r="C323" s="1">
        <v>44620</v>
      </c>
      <c r="D323" s="1">
        <v>44624</v>
      </c>
      <c r="E323" s="1">
        <f>SUM(Table1[[#This Row],[Delivery_Date]]-Table1[[#This Row],[Order_Date]])</f>
        <v>4</v>
      </c>
      <c r="F323" t="s">
        <v>39</v>
      </c>
      <c r="G323" t="s">
        <v>18</v>
      </c>
      <c r="H323">
        <v>513</v>
      </c>
      <c r="I323" s="4">
        <v>24.91</v>
      </c>
      <c r="J323" s="4">
        <v>22.58</v>
      </c>
      <c r="K323" s="4">
        <f>Table1[[#This Row],[Quantity]]*Table1[[#This Row],[Negotiated_Price]]</f>
        <v>11583.539999999999</v>
      </c>
      <c r="L323" s="4">
        <f>Table1[[#This Row],[Quantity]]*Table1[[#This Row],[Unit_Price]]</f>
        <v>12778.83</v>
      </c>
      <c r="M323" s="4">
        <f>Table1[[#This Row],[Unit_Price]]-Table1[[#This Row],[Negotiated_Price]]</f>
        <v>2.3300000000000018</v>
      </c>
      <c r="N323" s="3">
        <f>(Table1[[#This Row],[Unit_Price]]-Table1[[#This Row],[Negotiated_Price]])/Table1[[#This Row],[Unit_Price]]</f>
        <v>9.3536732236049858E-2</v>
      </c>
      <c r="O323">
        <v>29</v>
      </c>
      <c r="P323" t="s">
        <v>15</v>
      </c>
      <c r="Q323">
        <f>IF(Table1[[#This Row],[Compliance]]="Yes", 1, 0)</f>
        <v>1</v>
      </c>
    </row>
    <row r="324" spans="1:17" x14ac:dyDescent="0.35">
      <c r="A324" t="s">
        <v>349</v>
      </c>
      <c r="B324" t="s">
        <v>17</v>
      </c>
      <c r="C324" s="1">
        <v>44613</v>
      </c>
      <c r="D324" s="1">
        <v>44624</v>
      </c>
      <c r="E324" s="1">
        <f>SUM(Table1[[#This Row],[Delivery_Date]]-Table1[[#This Row],[Order_Date]])</f>
        <v>11</v>
      </c>
      <c r="F324" t="s">
        <v>21</v>
      </c>
      <c r="G324" t="s">
        <v>18</v>
      </c>
      <c r="H324">
        <v>1422</v>
      </c>
      <c r="I324" s="4">
        <v>83.73</v>
      </c>
      <c r="J324" s="4">
        <v>76.47</v>
      </c>
      <c r="K324" s="4">
        <f>Table1[[#This Row],[Quantity]]*Table1[[#This Row],[Negotiated_Price]]</f>
        <v>108740.34</v>
      </c>
      <c r="L324" s="4">
        <f>Table1[[#This Row],[Quantity]]*Table1[[#This Row],[Unit_Price]]</f>
        <v>119064.06000000001</v>
      </c>
      <c r="M324" s="4">
        <f>Table1[[#This Row],[Unit_Price]]-Table1[[#This Row],[Negotiated_Price]]</f>
        <v>7.2600000000000051</v>
      </c>
      <c r="N324" s="3">
        <f>(Table1[[#This Row],[Unit_Price]]-Table1[[#This Row],[Negotiated_Price]])/Table1[[#This Row],[Unit_Price]]</f>
        <v>8.6707273378717364E-2</v>
      </c>
      <c r="O324">
        <v>198</v>
      </c>
      <c r="P324" t="s">
        <v>15</v>
      </c>
      <c r="Q324">
        <f>IF(Table1[[#This Row],[Compliance]]="Yes", 1, 0)</f>
        <v>1</v>
      </c>
    </row>
    <row r="325" spans="1:17" x14ac:dyDescent="0.35">
      <c r="A325" t="s">
        <v>350</v>
      </c>
      <c r="B325" t="s">
        <v>12</v>
      </c>
      <c r="C325" s="1">
        <v>45160</v>
      </c>
      <c r="D325" s="1">
        <v>45172</v>
      </c>
      <c r="E325" s="1">
        <f>SUM(Table1[[#This Row],[Delivery_Date]]-Table1[[#This Row],[Order_Date]])</f>
        <v>12</v>
      </c>
      <c r="F325" t="s">
        <v>13</v>
      </c>
      <c r="G325" t="s">
        <v>18</v>
      </c>
      <c r="H325">
        <v>1844</v>
      </c>
      <c r="I325" s="4">
        <v>76.510000000000005</v>
      </c>
      <c r="J325" s="4">
        <v>73.05</v>
      </c>
      <c r="K325" s="4">
        <f>Table1[[#This Row],[Quantity]]*Table1[[#This Row],[Negotiated_Price]]</f>
        <v>134704.19999999998</v>
      </c>
      <c r="L325" s="4">
        <f>Table1[[#This Row],[Quantity]]*Table1[[#This Row],[Unit_Price]]</f>
        <v>141084.44</v>
      </c>
      <c r="M325" s="4">
        <f>Table1[[#This Row],[Unit_Price]]-Table1[[#This Row],[Negotiated_Price]]</f>
        <v>3.460000000000008</v>
      </c>
      <c r="N325" s="3">
        <f>(Table1[[#This Row],[Unit_Price]]-Table1[[#This Row],[Negotiated_Price]])/Table1[[#This Row],[Unit_Price]]</f>
        <v>4.5222846686707723E-2</v>
      </c>
      <c r="P325" t="s">
        <v>15</v>
      </c>
      <c r="Q325">
        <f>IF(Table1[[#This Row],[Compliance]]="Yes", 1, 0)</f>
        <v>1</v>
      </c>
    </row>
    <row r="326" spans="1:17" hidden="1" x14ac:dyDescent="0.35">
      <c r="A326" t="s">
        <v>351</v>
      </c>
      <c r="B326" t="s">
        <v>20</v>
      </c>
      <c r="C326" s="1">
        <v>45050</v>
      </c>
      <c r="E326" s="1">
        <f>SUM(Table1[[#This Row],[Delivery_Date]]-Table1[[#This Row],[Order_Date]])</f>
        <v>-45050</v>
      </c>
      <c r="F326" t="s">
        <v>39</v>
      </c>
      <c r="G326" t="s">
        <v>18</v>
      </c>
      <c r="H326">
        <v>709</v>
      </c>
      <c r="I326">
        <v>61.64</v>
      </c>
      <c r="J326">
        <v>54.55</v>
      </c>
      <c r="K326">
        <f>Table1[[#This Row],[Quantity]]*Table1[[#This Row],[Negotiated_Price]]</f>
        <v>38675.949999999997</v>
      </c>
      <c r="L326" s="5">
        <f>Table1[[#This Row],[Quantity]]*Table1[[#This Row],[Unit_Price]]</f>
        <v>43702.76</v>
      </c>
      <c r="M326">
        <f>Table1[[#This Row],[Unit_Price]]-Table1[[#This Row],[Negotiated_Price]]</f>
        <v>7.0900000000000034</v>
      </c>
      <c r="N326" s="2">
        <f>(Table1[[#This Row],[Unit_Price]]-Table1[[#This Row],[Negotiated_Price]])/Table1[[#This Row],[Unit_Price]]</f>
        <v>0.11502271252433491</v>
      </c>
      <c r="O326">
        <v>41</v>
      </c>
      <c r="P326" t="s">
        <v>15</v>
      </c>
      <c r="Q326">
        <f>IF(Table1[[#This Row],[Compliance]]="Yes", 1, 0)</f>
        <v>1</v>
      </c>
    </row>
    <row r="327" spans="1:17" x14ac:dyDescent="0.35">
      <c r="A327" t="s">
        <v>352</v>
      </c>
      <c r="B327" t="s">
        <v>17</v>
      </c>
      <c r="C327" s="1">
        <v>45076</v>
      </c>
      <c r="D327" s="1">
        <v>45092</v>
      </c>
      <c r="E327" s="1">
        <f>SUM(Table1[[#This Row],[Delivery_Date]]-Table1[[#This Row],[Order_Date]])</f>
        <v>16</v>
      </c>
      <c r="F327" t="s">
        <v>21</v>
      </c>
      <c r="G327" t="s">
        <v>18</v>
      </c>
      <c r="H327">
        <v>813</v>
      </c>
      <c r="I327" s="4">
        <v>45.68</v>
      </c>
      <c r="J327" s="4">
        <v>41.78</v>
      </c>
      <c r="K327" s="4">
        <f>Table1[[#This Row],[Quantity]]*Table1[[#This Row],[Negotiated_Price]]</f>
        <v>33967.14</v>
      </c>
      <c r="L327" s="4">
        <f>Table1[[#This Row],[Quantity]]*Table1[[#This Row],[Unit_Price]]</f>
        <v>37137.839999999997</v>
      </c>
      <c r="M327" s="4">
        <f>Table1[[#This Row],[Unit_Price]]-Table1[[#This Row],[Negotiated_Price]]</f>
        <v>3.8999999999999986</v>
      </c>
      <c r="N327" s="3">
        <f>(Table1[[#This Row],[Unit_Price]]-Table1[[#This Row],[Negotiated_Price]])/Table1[[#This Row],[Unit_Price]]</f>
        <v>8.5376532399299446E-2</v>
      </c>
      <c r="P327" t="s">
        <v>27</v>
      </c>
      <c r="Q327">
        <f>IF(Table1[[#This Row],[Compliance]]="Yes", 1, 0)</f>
        <v>0</v>
      </c>
    </row>
    <row r="328" spans="1:17" x14ac:dyDescent="0.35">
      <c r="A328" t="s">
        <v>353</v>
      </c>
      <c r="B328" t="s">
        <v>17</v>
      </c>
      <c r="C328" s="1">
        <v>45105</v>
      </c>
      <c r="D328" s="1">
        <v>45108</v>
      </c>
      <c r="E328" s="1">
        <f>SUM(Table1[[#This Row],[Delivery_Date]]-Table1[[#This Row],[Order_Date]])</f>
        <v>3</v>
      </c>
      <c r="F328" t="s">
        <v>13</v>
      </c>
      <c r="G328" t="s">
        <v>18</v>
      </c>
      <c r="H328">
        <v>1004</v>
      </c>
      <c r="I328" s="4">
        <v>96.51</v>
      </c>
      <c r="J328" s="4">
        <v>92.9</v>
      </c>
      <c r="K328" s="4">
        <f>Table1[[#This Row],[Quantity]]*Table1[[#This Row],[Negotiated_Price]]</f>
        <v>93271.6</v>
      </c>
      <c r="L328" s="4">
        <f>Table1[[#This Row],[Quantity]]*Table1[[#This Row],[Unit_Price]]</f>
        <v>96896.040000000008</v>
      </c>
      <c r="M328" s="4">
        <f>Table1[[#This Row],[Unit_Price]]-Table1[[#This Row],[Negotiated_Price]]</f>
        <v>3.6099999999999994</v>
      </c>
      <c r="N328" s="3">
        <f>(Table1[[#This Row],[Unit_Price]]-Table1[[#This Row],[Negotiated_Price]])/Table1[[#This Row],[Unit_Price]]</f>
        <v>3.7405450212413212E-2</v>
      </c>
      <c r="O328">
        <v>146</v>
      </c>
      <c r="P328" t="s">
        <v>27</v>
      </c>
      <c r="Q328">
        <f>IF(Table1[[#This Row],[Compliance]]="Yes", 1, 0)</f>
        <v>0</v>
      </c>
    </row>
    <row r="329" spans="1:17" x14ac:dyDescent="0.35">
      <c r="A329" t="s">
        <v>354</v>
      </c>
      <c r="B329" t="s">
        <v>29</v>
      </c>
      <c r="C329" s="1">
        <v>44723</v>
      </c>
      <c r="D329" s="1">
        <v>44727</v>
      </c>
      <c r="E329" s="1">
        <f>SUM(Table1[[#This Row],[Delivery_Date]]-Table1[[#This Row],[Order_Date]])</f>
        <v>4</v>
      </c>
      <c r="F329" t="s">
        <v>26</v>
      </c>
      <c r="G329" t="s">
        <v>18</v>
      </c>
      <c r="H329">
        <v>452</v>
      </c>
      <c r="I329" s="4">
        <v>46.45</v>
      </c>
      <c r="J329" s="4">
        <v>40.39</v>
      </c>
      <c r="K329" s="4">
        <f>Table1[[#This Row],[Quantity]]*Table1[[#This Row],[Negotiated_Price]]</f>
        <v>18256.28</v>
      </c>
      <c r="L329" s="4">
        <f>Table1[[#This Row],[Quantity]]*Table1[[#This Row],[Unit_Price]]</f>
        <v>20995.4</v>
      </c>
      <c r="M329" s="4">
        <f>Table1[[#This Row],[Unit_Price]]-Table1[[#This Row],[Negotiated_Price]]</f>
        <v>6.0600000000000023</v>
      </c>
      <c r="N329" s="3">
        <f>(Table1[[#This Row],[Unit_Price]]-Table1[[#This Row],[Negotiated_Price]])/Table1[[#This Row],[Unit_Price]]</f>
        <v>0.13046286329386442</v>
      </c>
      <c r="O329">
        <v>9</v>
      </c>
      <c r="P329" t="s">
        <v>15</v>
      </c>
      <c r="Q329">
        <f>IF(Table1[[#This Row],[Compliance]]="Yes", 1, 0)</f>
        <v>1</v>
      </c>
    </row>
    <row r="330" spans="1:17" x14ac:dyDescent="0.35">
      <c r="A330" t="s">
        <v>355</v>
      </c>
      <c r="B330" t="s">
        <v>23</v>
      </c>
      <c r="C330" s="1">
        <v>44620</v>
      </c>
      <c r="D330" s="1">
        <v>44632</v>
      </c>
      <c r="E330" s="1">
        <f>SUM(Table1[[#This Row],[Delivery_Date]]-Table1[[#This Row],[Order_Date]])</f>
        <v>12</v>
      </c>
      <c r="F330" t="s">
        <v>26</v>
      </c>
      <c r="G330" t="s">
        <v>35</v>
      </c>
      <c r="H330">
        <v>1419</v>
      </c>
      <c r="I330" s="4">
        <v>83.91</v>
      </c>
      <c r="J330" s="4">
        <v>71.459999999999994</v>
      </c>
      <c r="K330" s="4">
        <f>Table1[[#This Row],[Quantity]]*Table1[[#This Row],[Negotiated_Price]]</f>
        <v>101401.73999999999</v>
      </c>
      <c r="L330" s="4">
        <f>Table1[[#This Row],[Quantity]]*Table1[[#This Row],[Unit_Price]]</f>
        <v>119068.29</v>
      </c>
      <c r="M330" s="4">
        <f>Table1[[#This Row],[Unit_Price]]-Table1[[#This Row],[Negotiated_Price]]</f>
        <v>12.450000000000003</v>
      </c>
      <c r="N330" s="3">
        <f>(Table1[[#This Row],[Unit_Price]]-Table1[[#This Row],[Negotiated_Price]])/Table1[[#This Row],[Unit_Price]]</f>
        <v>0.14837325706113696</v>
      </c>
      <c r="O330">
        <v>137</v>
      </c>
      <c r="P330" t="s">
        <v>15</v>
      </c>
      <c r="Q330">
        <f>IF(Table1[[#This Row],[Compliance]]="Yes", 1, 0)</f>
        <v>1</v>
      </c>
    </row>
    <row r="331" spans="1:17" x14ac:dyDescent="0.35">
      <c r="A331" t="s">
        <v>356</v>
      </c>
      <c r="B331" t="s">
        <v>23</v>
      </c>
      <c r="C331" s="1">
        <v>45082</v>
      </c>
      <c r="D331" s="1">
        <v>45100</v>
      </c>
      <c r="E331" s="1">
        <f>SUM(Table1[[#This Row],[Delivery_Date]]-Table1[[#This Row],[Order_Date]])</f>
        <v>18</v>
      </c>
      <c r="F331" t="s">
        <v>24</v>
      </c>
      <c r="G331" t="s">
        <v>18</v>
      </c>
      <c r="H331">
        <v>1584</v>
      </c>
      <c r="I331" s="4">
        <v>53.73</v>
      </c>
      <c r="J331" s="4">
        <v>51.92</v>
      </c>
      <c r="K331" s="4">
        <f>Table1[[#This Row],[Quantity]]*Table1[[#This Row],[Negotiated_Price]]</f>
        <v>82241.279999999999</v>
      </c>
      <c r="L331" s="4">
        <f>Table1[[#This Row],[Quantity]]*Table1[[#This Row],[Unit_Price]]</f>
        <v>85108.319999999992</v>
      </c>
      <c r="M331" s="4">
        <f>Table1[[#This Row],[Unit_Price]]-Table1[[#This Row],[Negotiated_Price]]</f>
        <v>1.8099999999999952</v>
      </c>
      <c r="N331" s="3">
        <f>(Table1[[#This Row],[Unit_Price]]-Table1[[#This Row],[Negotiated_Price]])/Table1[[#This Row],[Unit_Price]]</f>
        <v>3.3686953284943144E-2</v>
      </c>
      <c r="O331">
        <v>167</v>
      </c>
      <c r="P331" t="s">
        <v>27</v>
      </c>
      <c r="Q331">
        <f>IF(Table1[[#This Row],[Compliance]]="Yes", 1, 0)</f>
        <v>0</v>
      </c>
    </row>
    <row r="332" spans="1:17" x14ac:dyDescent="0.35">
      <c r="A332" t="s">
        <v>357</v>
      </c>
      <c r="B332" t="s">
        <v>20</v>
      </c>
      <c r="C332" s="1">
        <v>44644</v>
      </c>
      <c r="D332" s="1">
        <v>44662</v>
      </c>
      <c r="E332" s="1">
        <f>SUM(Table1[[#This Row],[Delivery_Date]]-Table1[[#This Row],[Order_Date]])</f>
        <v>18</v>
      </c>
      <c r="F332" t="s">
        <v>21</v>
      </c>
      <c r="G332" t="s">
        <v>35</v>
      </c>
      <c r="H332">
        <v>196</v>
      </c>
      <c r="I332" s="4">
        <v>44.36</v>
      </c>
      <c r="J332" s="4">
        <v>43.81</v>
      </c>
      <c r="K332" s="4">
        <f>Table1[[#This Row],[Quantity]]*Table1[[#This Row],[Negotiated_Price]]</f>
        <v>8586.76</v>
      </c>
      <c r="L332" s="4">
        <f>Table1[[#This Row],[Quantity]]*Table1[[#This Row],[Unit_Price]]</f>
        <v>8694.56</v>
      </c>
      <c r="M332" s="4">
        <f>Table1[[#This Row],[Unit_Price]]-Table1[[#This Row],[Negotiated_Price]]</f>
        <v>0.54999999999999716</v>
      </c>
      <c r="N332" s="3">
        <f>(Table1[[#This Row],[Unit_Price]]-Table1[[#This Row],[Negotiated_Price]])/Table1[[#This Row],[Unit_Price]]</f>
        <v>1.239855725879164E-2</v>
      </c>
      <c r="O332">
        <v>6</v>
      </c>
      <c r="P332" t="s">
        <v>15</v>
      </c>
      <c r="Q332">
        <f>IF(Table1[[#This Row],[Compliance]]="Yes", 1, 0)</f>
        <v>1</v>
      </c>
    </row>
    <row r="333" spans="1:17" x14ac:dyDescent="0.35">
      <c r="A333" t="s">
        <v>358</v>
      </c>
      <c r="B333" t="s">
        <v>12</v>
      </c>
      <c r="C333" s="1">
        <v>44752</v>
      </c>
      <c r="D333" s="1">
        <v>44756</v>
      </c>
      <c r="E333" s="1">
        <f>SUM(Table1[[#This Row],[Delivery_Date]]-Table1[[#This Row],[Order_Date]])</f>
        <v>4</v>
      </c>
      <c r="F333" t="s">
        <v>13</v>
      </c>
      <c r="G333" t="s">
        <v>18</v>
      </c>
      <c r="H333">
        <v>1221</v>
      </c>
      <c r="I333" s="4">
        <v>53.19</v>
      </c>
      <c r="J333" s="4">
        <v>46.18</v>
      </c>
      <c r="K333" s="4">
        <f>Table1[[#This Row],[Quantity]]*Table1[[#This Row],[Negotiated_Price]]</f>
        <v>56385.78</v>
      </c>
      <c r="L333" s="4">
        <f>Table1[[#This Row],[Quantity]]*Table1[[#This Row],[Unit_Price]]</f>
        <v>64944.99</v>
      </c>
      <c r="M333" s="4">
        <f>Table1[[#This Row],[Unit_Price]]-Table1[[#This Row],[Negotiated_Price]]</f>
        <v>7.009999999999998</v>
      </c>
      <c r="N333" s="3">
        <f>(Table1[[#This Row],[Unit_Price]]-Table1[[#This Row],[Negotiated_Price]])/Table1[[#This Row],[Unit_Price]]</f>
        <v>0.13179169016732464</v>
      </c>
      <c r="O333">
        <v>29</v>
      </c>
      <c r="P333" t="s">
        <v>15</v>
      </c>
      <c r="Q333">
        <f>IF(Table1[[#This Row],[Compliance]]="Yes", 1, 0)</f>
        <v>1</v>
      </c>
    </row>
    <row r="334" spans="1:17" x14ac:dyDescent="0.35">
      <c r="A334" t="s">
        <v>359</v>
      </c>
      <c r="B334" t="s">
        <v>12</v>
      </c>
      <c r="C334" s="1">
        <v>44632</v>
      </c>
      <c r="D334" s="1">
        <v>44646</v>
      </c>
      <c r="E334" s="1">
        <f>SUM(Table1[[#This Row],[Delivery_Date]]-Table1[[#This Row],[Order_Date]])</f>
        <v>14</v>
      </c>
      <c r="F334" t="s">
        <v>24</v>
      </c>
      <c r="G334" t="s">
        <v>18</v>
      </c>
      <c r="H334">
        <v>913</v>
      </c>
      <c r="I334" s="4">
        <v>37.5</v>
      </c>
      <c r="J334" s="4">
        <v>36.200000000000003</v>
      </c>
      <c r="K334" s="4">
        <f>Table1[[#This Row],[Quantity]]*Table1[[#This Row],[Negotiated_Price]]</f>
        <v>33050.600000000006</v>
      </c>
      <c r="L334" s="4">
        <f>Table1[[#This Row],[Quantity]]*Table1[[#This Row],[Unit_Price]]</f>
        <v>34237.5</v>
      </c>
      <c r="M334" s="4">
        <f>Table1[[#This Row],[Unit_Price]]-Table1[[#This Row],[Negotiated_Price]]</f>
        <v>1.2999999999999972</v>
      </c>
      <c r="N334" s="3">
        <f>(Table1[[#This Row],[Unit_Price]]-Table1[[#This Row],[Negotiated_Price]])/Table1[[#This Row],[Unit_Price]]</f>
        <v>3.4666666666666589E-2</v>
      </c>
      <c r="P334" t="s">
        <v>15</v>
      </c>
      <c r="Q334">
        <f>IF(Table1[[#This Row],[Compliance]]="Yes", 1, 0)</f>
        <v>1</v>
      </c>
    </row>
    <row r="335" spans="1:17" x14ac:dyDescent="0.35">
      <c r="A335" t="s">
        <v>360</v>
      </c>
      <c r="B335" t="s">
        <v>12</v>
      </c>
      <c r="C335" s="1">
        <v>45171</v>
      </c>
      <c r="D335" s="1">
        <v>45173</v>
      </c>
      <c r="E335" s="1">
        <f>SUM(Table1[[#This Row],[Delivery_Date]]-Table1[[#This Row],[Order_Date]])</f>
        <v>2</v>
      </c>
      <c r="F335" t="s">
        <v>24</v>
      </c>
      <c r="G335" t="s">
        <v>18</v>
      </c>
      <c r="H335">
        <v>1784</v>
      </c>
      <c r="I335" s="4">
        <v>85.01</v>
      </c>
      <c r="J335" s="4">
        <v>76.69</v>
      </c>
      <c r="K335" s="4">
        <f>Table1[[#This Row],[Quantity]]*Table1[[#This Row],[Negotiated_Price]]</f>
        <v>136814.96</v>
      </c>
      <c r="L335" s="4">
        <f>Table1[[#This Row],[Quantity]]*Table1[[#This Row],[Unit_Price]]</f>
        <v>151657.84</v>
      </c>
      <c r="M335" s="4">
        <f>Table1[[#This Row],[Unit_Price]]-Table1[[#This Row],[Negotiated_Price]]</f>
        <v>8.3200000000000074</v>
      </c>
      <c r="N335" s="3">
        <f>(Table1[[#This Row],[Unit_Price]]-Table1[[#This Row],[Negotiated_Price]])/Table1[[#This Row],[Unit_Price]]</f>
        <v>9.7870838724855982E-2</v>
      </c>
      <c r="O335">
        <v>37</v>
      </c>
      <c r="P335" t="s">
        <v>15</v>
      </c>
      <c r="Q335">
        <f>IF(Table1[[#This Row],[Compliance]]="Yes", 1, 0)</f>
        <v>1</v>
      </c>
    </row>
    <row r="336" spans="1:17" hidden="1" x14ac:dyDescent="0.35">
      <c r="A336" t="s">
        <v>361</v>
      </c>
      <c r="B336" t="s">
        <v>17</v>
      </c>
      <c r="C336" s="1">
        <v>44631</v>
      </c>
      <c r="E336" s="1">
        <f>SUM(Table1[[#This Row],[Delivery_Date]]-Table1[[#This Row],[Order_Date]])</f>
        <v>-44631</v>
      </c>
      <c r="F336" t="s">
        <v>26</v>
      </c>
      <c r="G336" t="s">
        <v>18</v>
      </c>
      <c r="H336">
        <v>1893</v>
      </c>
      <c r="I336">
        <v>55.8</v>
      </c>
      <c r="J336">
        <v>52.35</v>
      </c>
      <c r="K336">
        <f>Table1[[#This Row],[Quantity]]*Table1[[#This Row],[Negotiated_Price]]</f>
        <v>99098.55</v>
      </c>
      <c r="L336" s="5">
        <f>Table1[[#This Row],[Quantity]]*Table1[[#This Row],[Unit_Price]]</f>
        <v>105629.4</v>
      </c>
      <c r="M336">
        <f>Table1[[#This Row],[Unit_Price]]-Table1[[#This Row],[Negotiated_Price]]</f>
        <v>3.4499999999999957</v>
      </c>
      <c r="N336" s="2">
        <f>(Table1[[#This Row],[Unit_Price]]-Table1[[#This Row],[Negotiated_Price]])/Table1[[#This Row],[Unit_Price]]</f>
        <v>6.1827956989247236E-2</v>
      </c>
      <c r="P336" t="s">
        <v>15</v>
      </c>
      <c r="Q336">
        <f>IF(Table1[[#This Row],[Compliance]]="Yes", 1, 0)</f>
        <v>1</v>
      </c>
    </row>
    <row r="337" spans="1:17" x14ac:dyDescent="0.35">
      <c r="A337" t="s">
        <v>362</v>
      </c>
      <c r="B337" t="s">
        <v>17</v>
      </c>
      <c r="C337" s="1">
        <v>45253</v>
      </c>
      <c r="D337" s="1">
        <v>45265</v>
      </c>
      <c r="E337" s="1">
        <f>SUM(Table1[[#This Row],[Delivery_Date]]-Table1[[#This Row],[Order_Date]])</f>
        <v>12</v>
      </c>
      <c r="F337" t="s">
        <v>39</v>
      </c>
      <c r="G337" t="s">
        <v>35</v>
      </c>
      <c r="H337">
        <v>538</v>
      </c>
      <c r="I337" s="4">
        <v>34.299999999999997</v>
      </c>
      <c r="J337" s="4">
        <v>32.25</v>
      </c>
      <c r="K337" s="4">
        <f>Table1[[#This Row],[Quantity]]*Table1[[#This Row],[Negotiated_Price]]</f>
        <v>17350.5</v>
      </c>
      <c r="L337" s="4">
        <f>Table1[[#This Row],[Quantity]]*Table1[[#This Row],[Unit_Price]]</f>
        <v>18453.399999999998</v>
      </c>
      <c r="M337" s="4">
        <f>Table1[[#This Row],[Unit_Price]]-Table1[[#This Row],[Negotiated_Price]]</f>
        <v>2.0499999999999972</v>
      </c>
      <c r="N337" s="3">
        <f>(Table1[[#This Row],[Unit_Price]]-Table1[[#This Row],[Negotiated_Price]])/Table1[[#This Row],[Unit_Price]]</f>
        <v>5.9766763848396423E-2</v>
      </c>
      <c r="O337">
        <v>84</v>
      </c>
      <c r="P337" t="s">
        <v>27</v>
      </c>
      <c r="Q337">
        <f>IF(Table1[[#This Row],[Compliance]]="Yes", 1, 0)</f>
        <v>0</v>
      </c>
    </row>
    <row r="338" spans="1:17" x14ac:dyDescent="0.35">
      <c r="A338" t="s">
        <v>363</v>
      </c>
      <c r="B338" t="s">
        <v>17</v>
      </c>
      <c r="C338" s="1">
        <v>44802</v>
      </c>
      <c r="D338" s="1">
        <v>44819</v>
      </c>
      <c r="E338" s="1">
        <f>SUM(Table1[[#This Row],[Delivery_Date]]-Table1[[#This Row],[Order_Date]])</f>
        <v>17</v>
      </c>
      <c r="F338" t="s">
        <v>13</v>
      </c>
      <c r="G338" t="s">
        <v>35</v>
      </c>
      <c r="H338">
        <v>978</v>
      </c>
      <c r="I338" s="4">
        <v>94.15</v>
      </c>
      <c r="J338" s="4">
        <v>87.7</v>
      </c>
      <c r="K338" s="4">
        <f>Table1[[#This Row],[Quantity]]*Table1[[#This Row],[Negotiated_Price]]</f>
        <v>85770.6</v>
      </c>
      <c r="L338" s="4">
        <f>Table1[[#This Row],[Quantity]]*Table1[[#This Row],[Unit_Price]]</f>
        <v>92078.700000000012</v>
      </c>
      <c r="M338" s="4">
        <f>Table1[[#This Row],[Unit_Price]]-Table1[[#This Row],[Negotiated_Price]]</f>
        <v>6.4500000000000028</v>
      </c>
      <c r="N338" s="3">
        <f>(Table1[[#This Row],[Unit_Price]]-Table1[[#This Row],[Negotiated_Price]])/Table1[[#This Row],[Unit_Price]]</f>
        <v>6.8507700477960731E-2</v>
      </c>
      <c r="O338">
        <v>149</v>
      </c>
      <c r="P338" t="s">
        <v>27</v>
      </c>
      <c r="Q338">
        <f>IF(Table1[[#This Row],[Compliance]]="Yes", 1, 0)</f>
        <v>0</v>
      </c>
    </row>
    <row r="339" spans="1:17" x14ac:dyDescent="0.35">
      <c r="A339" t="s">
        <v>364</v>
      </c>
      <c r="B339" t="s">
        <v>29</v>
      </c>
      <c r="C339" s="1">
        <v>44975</v>
      </c>
      <c r="D339" s="1">
        <v>44991</v>
      </c>
      <c r="E339" s="1">
        <f>SUM(Table1[[#This Row],[Delivery_Date]]-Table1[[#This Row],[Order_Date]])</f>
        <v>16</v>
      </c>
      <c r="F339" t="s">
        <v>26</v>
      </c>
      <c r="G339" t="s">
        <v>14</v>
      </c>
      <c r="H339">
        <v>1713</v>
      </c>
      <c r="I339" s="4">
        <v>47.45</v>
      </c>
      <c r="J339" s="4">
        <v>42.05</v>
      </c>
      <c r="K339" s="4">
        <f>Table1[[#This Row],[Quantity]]*Table1[[#This Row],[Negotiated_Price]]</f>
        <v>72031.649999999994</v>
      </c>
      <c r="L339" s="4">
        <f>Table1[[#This Row],[Quantity]]*Table1[[#This Row],[Unit_Price]]</f>
        <v>81281.850000000006</v>
      </c>
      <c r="M339" s="4">
        <f>Table1[[#This Row],[Unit_Price]]-Table1[[#This Row],[Negotiated_Price]]</f>
        <v>5.4000000000000057</v>
      </c>
      <c r="N339" s="3">
        <f>(Table1[[#This Row],[Unit_Price]]-Table1[[#This Row],[Negotiated_Price]])/Table1[[#This Row],[Unit_Price]]</f>
        <v>0.11380400421496323</v>
      </c>
      <c r="O339">
        <v>53</v>
      </c>
      <c r="P339" t="s">
        <v>15</v>
      </c>
      <c r="Q339">
        <f>IF(Table1[[#This Row],[Compliance]]="Yes", 1, 0)</f>
        <v>1</v>
      </c>
    </row>
    <row r="340" spans="1:17" x14ac:dyDescent="0.35">
      <c r="A340" t="s">
        <v>365</v>
      </c>
      <c r="B340" t="s">
        <v>17</v>
      </c>
      <c r="C340" s="1">
        <v>44684</v>
      </c>
      <c r="D340" s="1">
        <v>44688</v>
      </c>
      <c r="E340" s="1">
        <f>SUM(Table1[[#This Row],[Delivery_Date]]-Table1[[#This Row],[Order_Date]])</f>
        <v>4</v>
      </c>
      <c r="F340" t="s">
        <v>26</v>
      </c>
      <c r="G340" t="s">
        <v>35</v>
      </c>
      <c r="H340">
        <v>600</v>
      </c>
      <c r="I340" s="4">
        <v>60.1</v>
      </c>
      <c r="J340" s="4">
        <v>57.92</v>
      </c>
      <c r="K340" s="4">
        <f>Table1[[#This Row],[Quantity]]*Table1[[#This Row],[Negotiated_Price]]</f>
        <v>34752</v>
      </c>
      <c r="L340" s="4">
        <f>Table1[[#This Row],[Quantity]]*Table1[[#This Row],[Unit_Price]]</f>
        <v>36060</v>
      </c>
      <c r="M340" s="4">
        <f>Table1[[#This Row],[Unit_Price]]-Table1[[#This Row],[Negotiated_Price]]</f>
        <v>2.1799999999999997</v>
      </c>
      <c r="N340" s="3">
        <f>(Table1[[#This Row],[Unit_Price]]-Table1[[#This Row],[Negotiated_Price]])/Table1[[#This Row],[Unit_Price]]</f>
        <v>3.6272878535773705E-2</v>
      </c>
      <c r="O340">
        <v>95</v>
      </c>
      <c r="P340" t="s">
        <v>27</v>
      </c>
      <c r="Q340">
        <f>IF(Table1[[#This Row],[Compliance]]="Yes", 1, 0)</f>
        <v>0</v>
      </c>
    </row>
    <row r="341" spans="1:17" x14ac:dyDescent="0.35">
      <c r="A341" t="s">
        <v>366</v>
      </c>
      <c r="B341" t="s">
        <v>12</v>
      </c>
      <c r="C341" s="1">
        <v>45145</v>
      </c>
      <c r="D341" s="1">
        <v>45163</v>
      </c>
      <c r="E341" s="1">
        <f>SUM(Table1[[#This Row],[Delivery_Date]]-Table1[[#This Row],[Order_Date]])</f>
        <v>18</v>
      </c>
      <c r="F341" t="s">
        <v>39</v>
      </c>
      <c r="G341" t="s">
        <v>35</v>
      </c>
      <c r="H341">
        <v>387</v>
      </c>
      <c r="I341" s="4">
        <v>100.28</v>
      </c>
      <c r="J341" s="4">
        <v>85.54</v>
      </c>
      <c r="K341" s="4">
        <f>Table1[[#This Row],[Quantity]]*Table1[[#This Row],[Negotiated_Price]]</f>
        <v>33103.980000000003</v>
      </c>
      <c r="L341" s="4">
        <f>Table1[[#This Row],[Quantity]]*Table1[[#This Row],[Unit_Price]]</f>
        <v>38808.36</v>
      </c>
      <c r="M341" s="4">
        <f>Table1[[#This Row],[Unit_Price]]-Table1[[#This Row],[Negotiated_Price]]</f>
        <v>14.739999999999995</v>
      </c>
      <c r="N341" s="3">
        <f>(Table1[[#This Row],[Unit_Price]]-Table1[[#This Row],[Negotiated_Price]])/Table1[[#This Row],[Unit_Price]]</f>
        <v>0.14698843238930989</v>
      </c>
      <c r="O341">
        <v>5</v>
      </c>
      <c r="P341" t="s">
        <v>15</v>
      </c>
      <c r="Q341">
        <f>IF(Table1[[#This Row],[Compliance]]="Yes", 1, 0)</f>
        <v>1</v>
      </c>
    </row>
    <row r="342" spans="1:17" x14ac:dyDescent="0.35">
      <c r="A342" t="s">
        <v>367</v>
      </c>
      <c r="B342" t="s">
        <v>12</v>
      </c>
      <c r="C342" s="1">
        <v>44814</v>
      </c>
      <c r="D342" s="1">
        <v>44823</v>
      </c>
      <c r="E342" s="1">
        <f>SUM(Table1[[#This Row],[Delivery_Date]]-Table1[[#This Row],[Order_Date]])</f>
        <v>9</v>
      </c>
      <c r="F342" t="s">
        <v>21</v>
      </c>
      <c r="G342" t="s">
        <v>35</v>
      </c>
      <c r="H342">
        <v>921</v>
      </c>
      <c r="I342" s="4">
        <v>68.83</v>
      </c>
      <c r="J342" s="4">
        <v>59.13</v>
      </c>
      <c r="K342" s="4">
        <f>Table1[[#This Row],[Quantity]]*Table1[[#This Row],[Negotiated_Price]]</f>
        <v>54458.73</v>
      </c>
      <c r="L342" s="4">
        <f>Table1[[#This Row],[Quantity]]*Table1[[#This Row],[Unit_Price]]</f>
        <v>63392.43</v>
      </c>
      <c r="M342" s="4">
        <f>Table1[[#This Row],[Unit_Price]]-Table1[[#This Row],[Negotiated_Price]]</f>
        <v>9.6999999999999957</v>
      </c>
      <c r="N342" s="3">
        <f>(Table1[[#This Row],[Unit_Price]]-Table1[[#This Row],[Negotiated_Price]])/Table1[[#This Row],[Unit_Price]]</f>
        <v>0.14092692140055202</v>
      </c>
      <c r="O342">
        <v>22</v>
      </c>
      <c r="P342" t="s">
        <v>15</v>
      </c>
      <c r="Q342">
        <f>IF(Table1[[#This Row],[Compliance]]="Yes", 1, 0)</f>
        <v>1</v>
      </c>
    </row>
    <row r="343" spans="1:17" x14ac:dyDescent="0.35">
      <c r="A343" t="s">
        <v>368</v>
      </c>
      <c r="B343" t="s">
        <v>23</v>
      </c>
      <c r="C343" s="1">
        <v>45154</v>
      </c>
      <c r="D343" s="1">
        <v>45168</v>
      </c>
      <c r="E343" s="1">
        <f>SUM(Table1[[#This Row],[Delivery_Date]]-Table1[[#This Row],[Order_Date]])</f>
        <v>14</v>
      </c>
      <c r="F343" t="s">
        <v>21</v>
      </c>
      <c r="G343" t="s">
        <v>18</v>
      </c>
      <c r="H343">
        <v>690</v>
      </c>
      <c r="I343" s="4">
        <v>22.47</v>
      </c>
      <c r="J343" s="4">
        <v>21.94</v>
      </c>
      <c r="K343" s="4">
        <f>Table1[[#This Row],[Quantity]]*Table1[[#This Row],[Negotiated_Price]]</f>
        <v>15138.6</v>
      </c>
      <c r="L343" s="4">
        <f>Table1[[#This Row],[Quantity]]*Table1[[#This Row],[Unit_Price]]</f>
        <v>15504.3</v>
      </c>
      <c r="M343" s="4">
        <f>Table1[[#This Row],[Unit_Price]]-Table1[[#This Row],[Negotiated_Price]]</f>
        <v>0.52999999999999758</v>
      </c>
      <c r="N343" s="3">
        <f>(Table1[[#This Row],[Unit_Price]]-Table1[[#This Row],[Negotiated_Price]])/Table1[[#This Row],[Unit_Price]]</f>
        <v>2.3587004895416003E-2</v>
      </c>
      <c r="O343">
        <v>77</v>
      </c>
      <c r="P343" t="s">
        <v>15</v>
      </c>
      <c r="Q343">
        <f>IF(Table1[[#This Row],[Compliance]]="Yes", 1, 0)</f>
        <v>1</v>
      </c>
    </row>
    <row r="344" spans="1:17" x14ac:dyDescent="0.35">
      <c r="A344" t="s">
        <v>369</v>
      </c>
      <c r="B344" t="s">
        <v>12</v>
      </c>
      <c r="C344" s="1">
        <v>45170</v>
      </c>
      <c r="D344" s="1">
        <v>45190</v>
      </c>
      <c r="E344" s="1">
        <f>SUM(Table1[[#This Row],[Delivery_Date]]-Table1[[#This Row],[Order_Date]])</f>
        <v>20</v>
      </c>
      <c r="F344" t="s">
        <v>13</v>
      </c>
      <c r="G344" t="s">
        <v>14</v>
      </c>
      <c r="H344">
        <v>1852</v>
      </c>
      <c r="I344" s="4">
        <v>104.04</v>
      </c>
      <c r="J344" s="4">
        <v>94.89</v>
      </c>
      <c r="K344" s="4">
        <f>Table1[[#This Row],[Quantity]]*Table1[[#This Row],[Negotiated_Price]]</f>
        <v>175736.28</v>
      </c>
      <c r="L344" s="4">
        <f>Table1[[#This Row],[Quantity]]*Table1[[#This Row],[Unit_Price]]</f>
        <v>192682.08000000002</v>
      </c>
      <c r="M344" s="4">
        <f>Table1[[#This Row],[Unit_Price]]-Table1[[#This Row],[Negotiated_Price]]</f>
        <v>9.1500000000000057</v>
      </c>
      <c r="N344" s="3">
        <f>(Table1[[#This Row],[Unit_Price]]-Table1[[#This Row],[Negotiated_Price]])/Table1[[#This Row],[Unit_Price]]</f>
        <v>8.7946943483275711E-2</v>
      </c>
      <c r="O344">
        <v>36</v>
      </c>
      <c r="P344" t="s">
        <v>15</v>
      </c>
      <c r="Q344">
        <f>IF(Table1[[#This Row],[Compliance]]="Yes", 1, 0)</f>
        <v>1</v>
      </c>
    </row>
    <row r="345" spans="1:17" x14ac:dyDescent="0.35">
      <c r="A345" t="s">
        <v>370</v>
      </c>
      <c r="B345" t="s">
        <v>17</v>
      </c>
      <c r="C345" s="1">
        <v>44602</v>
      </c>
      <c r="D345" s="1">
        <v>44620</v>
      </c>
      <c r="E345" s="1">
        <f>SUM(Table1[[#This Row],[Delivery_Date]]-Table1[[#This Row],[Order_Date]])</f>
        <v>18</v>
      </c>
      <c r="F345" t="s">
        <v>39</v>
      </c>
      <c r="G345" t="s">
        <v>18</v>
      </c>
      <c r="H345">
        <v>522</v>
      </c>
      <c r="I345" s="4">
        <v>66.83</v>
      </c>
      <c r="J345" s="4">
        <v>58.01</v>
      </c>
      <c r="K345" s="4">
        <f>Table1[[#This Row],[Quantity]]*Table1[[#This Row],[Negotiated_Price]]</f>
        <v>30281.219999999998</v>
      </c>
      <c r="L345" s="4">
        <f>Table1[[#This Row],[Quantity]]*Table1[[#This Row],[Unit_Price]]</f>
        <v>34885.26</v>
      </c>
      <c r="M345" s="4">
        <f>Table1[[#This Row],[Unit_Price]]-Table1[[#This Row],[Negotiated_Price]]</f>
        <v>8.82</v>
      </c>
      <c r="N345" s="3">
        <f>(Table1[[#This Row],[Unit_Price]]-Table1[[#This Row],[Negotiated_Price]])/Table1[[#This Row],[Unit_Price]]</f>
        <v>0.1319766571898848</v>
      </c>
      <c r="O345">
        <v>74</v>
      </c>
      <c r="P345" t="s">
        <v>15</v>
      </c>
      <c r="Q345">
        <f>IF(Table1[[#This Row],[Compliance]]="Yes", 1, 0)</f>
        <v>1</v>
      </c>
    </row>
    <row r="346" spans="1:17" x14ac:dyDescent="0.35">
      <c r="A346" t="s">
        <v>371</v>
      </c>
      <c r="B346" t="s">
        <v>17</v>
      </c>
      <c r="C346" s="1">
        <v>45196</v>
      </c>
      <c r="D346" s="1">
        <v>45205</v>
      </c>
      <c r="E346" s="1">
        <f>SUM(Table1[[#This Row],[Delivery_Date]]-Table1[[#This Row],[Order_Date]])</f>
        <v>9</v>
      </c>
      <c r="F346" t="s">
        <v>39</v>
      </c>
      <c r="G346" t="s">
        <v>18</v>
      </c>
      <c r="H346">
        <v>200</v>
      </c>
      <c r="I346" s="4">
        <v>44.16</v>
      </c>
      <c r="J346" s="4">
        <v>43.13</v>
      </c>
      <c r="K346" s="4">
        <f>Table1[[#This Row],[Quantity]]*Table1[[#This Row],[Negotiated_Price]]</f>
        <v>8626</v>
      </c>
      <c r="L346" s="4">
        <f>Table1[[#This Row],[Quantity]]*Table1[[#This Row],[Unit_Price]]</f>
        <v>8832</v>
      </c>
      <c r="M346" s="4">
        <f>Table1[[#This Row],[Unit_Price]]-Table1[[#This Row],[Negotiated_Price]]</f>
        <v>1.029999999999994</v>
      </c>
      <c r="N346" s="3">
        <f>(Table1[[#This Row],[Unit_Price]]-Table1[[#This Row],[Negotiated_Price]])/Table1[[#This Row],[Unit_Price]]</f>
        <v>2.3324275362318708E-2</v>
      </c>
      <c r="O346">
        <v>21</v>
      </c>
      <c r="P346" t="s">
        <v>15</v>
      </c>
      <c r="Q346">
        <f>IF(Table1[[#This Row],[Compliance]]="Yes", 1, 0)</f>
        <v>1</v>
      </c>
    </row>
    <row r="347" spans="1:17" x14ac:dyDescent="0.35">
      <c r="A347" t="s">
        <v>372</v>
      </c>
      <c r="B347" t="s">
        <v>20</v>
      </c>
      <c r="C347" s="1">
        <v>44645</v>
      </c>
      <c r="D347" s="1">
        <v>44654</v>
      </c>
      <c r="E347" s="1">
        <f>SUM(Table1[[#This Row],[Delivery_Date]]-Table1[[#This Row],[Order_Date]])</f>
        <v>9</v>
      </c>
      <c r="F347" t="s">
        <v>24</v>
      </c>
      <c r="G347" t="s">
        <v>18</v>
      </c>
      <c r="H347">
        <v>1488</v>
      </c>
      <c r="I347" s="4">
        <v>22.76</v>
      </c>
      <c r="J347" s="4">
        <v>21.99</v>
      </c>
      <c r="K347" s="4">
        <f>Table1[[#This Row],[Quantity]]*Table1[[#This Row],[Negotiated_Price]]</f>
        <v>32721.119999999999</v>
      </c>
      <c r="L347" s="4">
        <f>Table1[[#This Row],[Quantity]]*Table1[[#This Row],[Unit_Price]]</f>
        <v>33866.880000000005</v>
      </c>
      <c r="M347" s="4">
        <f>Table1[[#This Row],[Unit_Price]]-Table1[[#This Row],[Negotiated_Price]]</f>
        <v>0.77000000000000313</v>
      </c>
      <c r="N347" s="3">
        <f>(Table1[[#This Row],[Unit_Price]]-Table1[[#This Row],[Negotiated_Price]])/Table1[[#This Row],[Unit_Price]]</f>
        <v>3.3831282952548468E-2</v>
      </c>
      <c r="P347" t="s">
        <v>15</v>
      </c>
      <c r="Q347">
        <f>IF(Table1[[#This Row],[Compliance]]="Yes", 1, 0)</f>
        <v>1</v>
      </c>
    </row>
    <row r="348" spans="1:17" x14ac:dyDescent="0.35">
      <c r="A348" t="s">
        <v>373</v>
      </c>
      <c r="B348" t="s">
        <v>29</v>
      </c>
      <c r="C348" s="1">
        <v>44991</v>
      </c>
      <c r="D348" s="1">
        <v>45001</v>
      </c>
      <c r="E348" s="1">
        <f>SUM(Table1[[#This Row],[Delivery_Date]]-Table1[[#This Row],[Order_Date]])</f>
        <v>10</v>
      </c>
      <c r="F348" t="s">
        <v>39</v>
      </c>
      <c r="G348" t="s">
        <v>18</v>
      </c>
      <c r="H348">
        <v>1371</v>
      </c>
      <c r="I348" s="4">
        <v>87.16</v>
      </c>
      <c r="J348" s="4">
        <v>78.13</v>
      </c>
      <c r="K348" s="4">
        <f>Table1[[#This Row],[Quantity]]*Table1[[#This Row],[Negotiated_Price]]</f>
        <v>107116.23</v>
      </c>
      <c r="L348" s="4">
        <f>Table1[[#This Row],[Quantity]]*Table1[[#This Row],[Unit_Price]]</f>
        <v>119496.36</v>
      </c>
      <c r="M348" s="4">
        <f>Table1[[#This Row],[Unit_Price]]-Table1[[#This Row],[Negotiated_Price]]</f>
        <v>9.0300000000000011</v>
      </c>
      <c r="N348" s="3">
        <f>(Table1[[#This Row],[Unit_Price]]-Table1[[#This Row],[Negotiated_Price]])/Table1[[#This Row],[Unit_Price]]</f>
        <v>0.10360256998623224</v>
      </c>
      <c r="O348">
        <v>43</v>
      </c>
      <c r="P348" t="s">
        <v>15</v>
      </c>
      <c r="Q348">
        <f>IF(Table1[[#This Row],[Compliance]]="Yes", 1, 0)</f>
        <v>1</v>
      </c>
    </row>
    <row r="349" spans="1:17" hidden="1" x14ac:dyDescent="0.35">
      <c r="A349" t="s">
        <v>374</v>
      </c>
      <c r="B349" t="s">
        <v>12</v>
      </c>
      <c r="C349" s="1">
        <v>45235</v>
      </c>
      <c r="E349" s="1">
        <f>SUM(Table1[[#This Row],[Delivery_Date]]-Table1[[#This Row],[Order_Date]])</f>
        <v>-45235</v>
      </c>
      <c r="F349" t="s">
        <v>13</v>
      </c>
      <c r="G349" t="s">
        <v>18</v>
      </c>
      <c r="H349">
        <v>1684</v>
      </c>
      <c r="I349">
        <v>73.05</v>
      </c>
      <c r="J349">
        <v>62.53</v>
      </c>
      <c r="K349">
        <f>Table1[[#This Row],[Quantity]]*Table1[[#This Row],[Negotiated_Price]]</f>
        <v>105300.52</v>
      </c>
      <c r="L349" s="5">
        <f>Table1[[#This Row],[Quantity]]*Table1[[#This Row],[Unit_Price]]</f>
        <v>123016.2</v>
      </c>
      <c r="M349">
        <f>Table1[[#This Row],[Unit_Price]]-Table1[[#This Row],[Negotiated_Price]]</f>
        <v>10.519999999999996</v>
      </c>
      <c r="N349" s="2">
        <f>(Table1[[#This Row],[Unit_Price]]-Table1[[#This Row],[Negotiated_Price]])/Table1[[#This Row],[Unit_Price]]</f>
        <v>0.14401095140314848</v>
      </c>
      <c r="P349" t="s">
        <v>15</v>
      </c>
      <c r="Q349">
        <f>IF(Table1[[#This Row],[Compliance]]="Yes", 1, 0)</f>
        <v>1</v>
      </c>
    </row>
    <row r="350" spans="1:17" x14ac:dyDescent="0.35">
      <c r="A350" t="s">
        <v>375</v>
      </c>
      <c r="B350" t="s">
        <v>29</v>
      </c>
      <c r="C350" s="1">
        <v>45159</v>
      </c>
      <c r="D350" s="1">
        <v>45165</v>
      </c>
      <c r="E350" s="1">
        <f>SUM(Table1[[#This Row],[Delivery_Date]]-Table1[[#This Row],[Order_Date]])</f>
        <v>6</v>
      </c>
      <c r="F350" t="s">
        <v>39</v>
      </c>
      <c r="G350" t="s">
        <v>18</v>
      </c>
      <c r="H350">
        <v>312</v>
      </c>
      <c r="I350" s="4">
        <v>63.52</v>
      </c>
      <c r="J350" s="4">
        <v>58.09</v>
      </c>
      <c r="K350" s="4">
        <f>Table1[[#This Row],[Quantity]]*Table1[[#This Row],[Negotiated_Price]]</f>
        <v>18124.080000000002</v>
      </c>
      <c r="L350" s="4">
        <f>Table1[[#This Row],[Quantity]]*Table1[[#This Row],[Unit_Price]]</f>
        <v>19818.240000000002</v>
      </c>
      <c r="M350" s="4">
        <f>Table1[[#This Row],[Unit_Price]]-Table1[[#This Row],[Negotiated_Price]]</f>
        <v>5.43</v>
      </c>
      <c r="N350" s="3">
        <f>(Table1[[#This Row],[Unit_Price]]-Table1[[#This Row],[Negotiated_Price]])/Table1[[#This Row],[Unit_Price]]</f>
        <v>8.5484886649874053E-2</v>
      </c>
      <c r="P350" t="s">
        <v>15</v>
      </c>
      <c r="Q350">
        <f>IF(Table1[[#This Row],[Compliance]]="Yes", 1, 0)</f>
        <v>1</v>
      </c>
    </row>
    <row r="351" spans="1:17" x14ac:dyDescent="0.35">
      <c r="A351" t="s">
        <v>376</v>
      </c>
      <c r="B351" t="s">
        <v>12</v>
      </c>
      <c r="C351" s="1">
        <v>45140</v>
      </c>
      <c r="D351" s="1">
        <v>45159</v>
      </c>
      <c r="E351" s="1">
        <f>SUM(Table1[[#This Row],[Delivery_Date]]-Table1[[#This Row],[Order_Date]])</f>
        <v>19</v>
      </c>
      <c r="F351" t="s">
        <v>24</v>
      </c>
      <c r="G351" t="s">
        <v>14</v>
      </c>
      <c r="H351">
        <v>1837</v>
      </c>
      <c r="I351" s="4">
        <v>99.04</v>
      </c>
      <c r="J351" s="4">
        <v>86.51</v>
      </c>
      <c r="K351" s="4">
        <f>Table1[[#This Row],[Quantity]]*Table1[[#This Row],[Negotiated_Price]]</f>
        <v>158918.87</v>
      </c>
      <c r="L351" s="4">
        <f>Table1[[#This Row],[Quantity]]*Table1[[#This Row],[Unit_Price]]</f>
        <v>181936.48</v>
      </c>
      <c r="M351" s="4">
        <f>Table1[[#This Row],[Unit_Price]]-Table1[[#This Row],[Negotiated_Price]]</f>
        <v>12.530000000000001</v>
      </c>
      <c r="N351" s="3">
        <f>(Table1[[#This Row],[Unit_Price]]-Table1[[#This Row],[Negotiated_Price]])/Table1[[#This Row],[Unit_Price]]</f>
        <v>0.12651453957996769</v>
      </c>
      <c r="O351">
        <v>39</v>
      </c>
      <c r="P351" t="s">
        <v>15</v>
      </c>
      <c r="Q351">
        <f>IF(Table1[[#This Row],[Compliance]]="Yes", 1, 0)</f>
        <v>1</v>
      </c>
    </row>
    <row r="352" spans="1:17" x14ac:dyDescent="0.35">
      <c r="A352" t="s">
        <v>377</v>
      </c>
      <c r="B352" t="s">
        <v>23</v>
      </c>
      <c r="C352" s="1">
        <v>45097</v>
      </c>
      <c r="D352" s="1">
        <v>45100</v>
      </c>
      <c r="E352" s="1">
        <f>SUM(Table1[[#This Row],[Delivery_Date]]-Table1[[#This Row],[Order_Date]])</f>
        <v>3</v>
      </c>
      <c r="F352" t="s">
        <v>21</v>
      </c>
      <c r="G352" t="s">
        <v>18</v>
      </c>
      <c r="H352">
        <v>193</v>
      </c>
      <c r="I352" s="4">
        <v>87.86</v>
      </c>
      <c r="J352" s="4">
        <v>81.739999999999995</v>
      </c>
      <c r="K352" s="4">
        <f>Table1[[#This Row],[Quantity]]*Table1[[#This Row],[Negotiated_Price]]</f>
        <v>15775.82</v>
      </c>
      <c r="L352" s="4">
        <f>Table1[[#This Row],[Quantity]]*Table1[[#This Row],[Unit_Price]]</f>
        <v>16956.98</v>
      </c>
      <c r="M352" s="4">
        <f>Table1[[#This Row],[Unit_Price]]-Table1[[#This Row],[Negotiated_Price]]</f>
        <v>6.1200000000000045</v>
      </c>
      <c r="N352" s="3">
        <f>(Table1[[#This Row],[Unit_Price]]-Table1[[#This Row],[Negotiated_Price]])/Table1[[#This Row],[Unit_Price]]</f>
        <v>6.965627134076946E-2</v>
      </c>
      <c r="O352">
        <v>21</v>
      </c>
      <c r="P352" t="s">
        <v>15</v>
      </c>
      <c r="Q352">
        <f>IF(Table1[[#This Row],[Compliance]]="Yes", 1, 0)</f>
        <v>1</v>
      </c>
    </row>
    <row r="353" spans="1:17" x14ac:dyDescent="0.35">
      <c r="A353" t="s">
        <v>378</v>
      </c>
      <c r="B353" t="s">
        <v>23</v>
      </c>
      <c r="C353" s="1">
        <v>44885</v>
      </c>
      <c r="D353" s="1">
        <v>44886</v>
      </c>
      <c r="E353" s="1">
        <f>SUM(Table1[[#This Row],[Delivery_Date]]-Table1[[#This Row],[Order_Date]])</f>
        <v>1</v>
      </c>
      <c r="F353" t="s">
        <v>39</v>
      </c>
      <c r="G353" t="s">
        <v>18</v>
      </c>
      <c r="H353">
        <v>395</v>
      </c>
      <c r="I353" s="4">
        <v>24.83</v>
      </c>
      <c r="J353" s="4">
        <v>23.96</v>
      </c>
      <c r="K353" s="4">
        <f>Table1[[#This Row],[Quantity]]*Table1[[#This Row],[Negotiated_Price]]</f>
        <v>9464.2000000000007</v>
      </c>
      <c r="L353" s="4">
        <f>Table1[[#This Row],[Quantity]]*Table1[[#This Row],[Unit_Price]]</f>
        <v>9807.8499999999985</v>
      </c>
      <c r="M353" s="4">
        <f>Table1[[#This Row],[Unit_Price]]-Table1[[#This Row],[Negotiated_Price]]</f>
        <v>0.86999999999999744</v>
      </c>
      <c r="N353" s="3">
        <f>(Table1[[#This Row],[Unit_Price]]-Table1[[#This Row],[Negotiated_Price]])/Table1[[#This Row],[Unit_Price]]</f>
        <v>3.5038260169150119E-2</v>
      </c>
      <c r="O353">
        <v>31</v>
      </c>
      <c r="P353" t="s">
        <v>15</v>
      </c>
      <c r="Q353">
        <f>IF(Table1[[#This Row],[Compliance]]="Yes", 1, 0)</f>
        <v>1</v>
      </c>
    </row>
    <row r="354" spans="1:17" x14ac:dyDescent="0.35">
      <c r="A354" t="s">
        <v>379</v>
      </c>
      <c r="B354" t="s">
        <v>29</v>
      </c>
      <c r="C354" s="1">
        <v>44829</v>
      </c>
      <c r="D354" s="1">
        <v>44846</v>
      </c>
      <c r="E354" s="1">
        <f>SUM(Table1[[#This Row],[Delivery_Date]]-Table1[[#This Row],[Order_Date]])</f>
        <v>17</v>
      </c>
      <c r="F354" t="s">
        <v>39</v>
      </c>
      <c r="G354" t="s">
        <v>14</v>
      </c>
      <c r="H354">
        <v>673</v>
      </c>
      <c r="I354" s="4">
        <v>39.58</v>
      </c>
      <c r="J354" s="4">
        <v>35.83</v>
      </c>
      <c r="K354" s="4">
        <f>Table1[[#This Row],[Quantity]]*Table1[[#This Row],[Negotiated_Price]]</f>
        <v>24113.59</v>
      </c>
      <c r="L354" s="4">
        <f>Table1[[#This Row],[Quantity]]*Table1[[#This Row],[Unit_Price]]</f>
        <v>26637.34</v>
      </c>
      <c r="M354" s="4">
        <f>Table1[[#This Row],[Unit_Price]]-Table1[[#This Row],[Negotiated_Price]]</f>
        <v>3.75</v>
      </c>
      <c r="N354" s="3">
        <f>(Table1[[#This Row],[Unit_Price]]-Table1[[#This Row],[Negotiated_Price]])/Table1[[#This Row],[Unit_Price]]</f>
        <v>9.4744820616472963E-2</v>
      </c>
      <c r="O354">
        <v>25</v>
      </c>
      <c r="P354" t="s">
        <v>15</v>
      </c>
      <c r="Q354">
        <f>IF(Table1[[#This Row],[Compliance]]="Yes", 1, 0)</f>
        <v>1</v>
      </c>
    </row>
    <row r="355" spans="1:17" x14ac:dyDescent="0.35">
      <c r="A355" t="s">
        <v>380</v>
      </c>
      <c r="B355" t="s">
        <v>17</v>
      </c>
      <c r="C355" s="1">
        <v>44771</v>
      </c>
      <c r="D355" s="1">
        <v>44785</v>
      </c>
      <c r="E355" s="1">
        <f>SUM(Table1[[#This Row],[Delivery_Date]]-Table1[[#This Row],[Order_Date]])</f>
        <v>14</v>
      </c>
      <c r="F355" t="s">
        <v>13</v>
      </c>
      <c r="G355" t="s">
        <v>14</v>
      </c>
      <c r="H355">
        <v>1066</v>
      </c>
      <c r="I355" s="4">
        <v>33.33</v>
      </c>
      <c r="J355" s="4">
        <v>28.47</v>
      </c>
      <c r="K355" s="4">
        <f>Table1[[#This Row],[Quantity]]*Table1[[#This Row],[Negotiated_Price]]</f>
        <v>30349.02</v>
      </c>
      <c r="L355" s="4">
        <f>Table1[[#This Row],[Quantity]]*Table1[[#This Row],[Unit_Price]]</f>
        <v>35529.78</v>
      </c>
      <c r="M355" s="4">
        <f>Table1[[#This Row],[Unit_Price]]-Table1[[#This Row],[Negotiated_Price]]</f>
        <v>4.8599999999999994</v>
      </c>
      <c r="N355" s="3">
        <f>(Table1[[#This Row],[Unit_Price]]-Table1[[#This Row],[Negotiated_Price]])/Table1[[#This Row],[Unit_Price]]</f>
        <v>0.1458145814581458</v>
      </c>
      <c r="O355">
        <v>162</v>
      </c>
      <c r="P355" t="s">
        <v>27</v>
      </c>
      <c r="Q355">
        <f>IF(Table1[[#This Row],[Compliance]]="Yes", 1, 0)</f>
        <v>0</v>
      </c>
    </row>
    <row r="356" spans="1:17" x14ac:dyDescent="0.35">
      <c r="A356" t="s">
        <v>381</v>
      </c>
      <c r="B356" t="s">
        <v>20</v>
      </c>
      <c r="C356" s="1">
        <v>45247</v>
      </c>
      <c r="D356" s="1">
        <v>45253</v>
      </c>
      <c r="E356" s="1">
        <f>SUM(Table1[[#This Row],[Delivery_Date]]-Table1[[#This Row],[Order_Date]])</f>
        <v>6</v>
      </c>
      <c r="F356" t="s">
        <v>24</v>
      </c>
      <c r="G356" t="s">
        <v>18</v>
      </c>
      <c r="H356">
        <v>1645</v>
      </c>
      <c r="I356" s="4">
        <v>85.42</v>
      </c>
      <c r="J356" s="4">
        <v>80.78</v>
      </c>
      <c r="K356" s="4">
        <f>Table1[[#This Row],[Quantity]]*Table1[[#This Row],[Negotiated_Price]]</f>
        <v>132883.1</v>
      </c>
      <c r="L356" s="4">
        <f>Table1[[#This Row],[Quantity]]*Table1[[#This Row],[Unit_Price]]</f>
        <v>140515.9</v>
      </c>
      <c r="M356" s="4">
        <f>Table1[[#This Row],[Unit_Price]]-Table1[[#This Row],[Negotiated_Price]]</f>
        <v>4.6400000000000006</v>
      </c>
      <c r="N356" s="3">
        <f>(Table1[[#This Row],[Unit_Price]]-Table1[[#This Row],[Negotiated_Price]])/Table1[[#This Row],[Unit_Price]]</f>
        <v>5.4319831421212834E-2</v>
      </c>
      <c r="O356">
        <v>73</v>
      </c>
      <c r="P356" t="s">
        <v>27</v>
      </c>
      <c r="Q356">
        <f>IF(Table1[[#This Row],[Compliance]]="Yes", 1, 0)</f>
        <v>0</v>
      </c>
    </row>
    <row r="357" spans="1:17" x14ac:dyDescent="0.35">
      <c r="A357" t="s">
        <v>382</v>
      </c>
      <c r="B357" t="s">
        <v>12</v>
      </c>
      <c r="C357" s="1">
        <v>44883</v>
      </c>
      <c r="D357" s="1">
        <v>44894</v>
      </c>
      <c r="E357" s="1">
        <f>SUM(Table1[[#This Row],[Delivery_Date]]-Table1[[#This Row],[Order_Date]])</f>
        <v>11</v>
      </c>
      <c r="F357" t="s">
        <v>39</v>
      </c>
      <c r="G357" t="s">
        <v>18</v>
      </c>
      <c r="H357">
        <v>930</v>
      </c>
      <c r="I357" s="4">
        <v>13.67</v>
      </c>
      <c r="J357" s="4">
        <v>11.95</v>
      </c>
      <c r="K357" s="4">
        <f>Table1[[#This Row],[Quantity]]*Table1[[#This Row],[Negotiated_Price]]</f>
        <v>11113.5</v>
      </c>
      <c r="L357" s="4">
        <f>Table1[[#This Row],[Quantity]]*Table1[[#This Row],[Unit_Price]]</f>
        <v>12713.1</v>
      </c>
      <c r="M357" s="4">
        <f>Table1[[#This Row],[Unit_Price]]-Table1[[#This Row],[Negotiated_Price]]</f>
        <v>1.7200000000000006</v>
      </c>
      <c r="N357" s="3">
        <f>(Table1[[#This Row],[Unit_Price]]-Table1[[#This Row],[Negotiated_Price]])/Table1[[#This Row],[Unit_Price]]</f>
        <v>0.12582297000731535</v>
      </c>
      <c r="O357">
        <v>16</v>
      </c>
      <c r="P357" t="s">
        <v>15</v>
      </c>
      <c r="Q357">
        <f>IF(Table1[[#This Row],[Compliance]]="Yes", 1, 0)</f>
        <v>1</v>
      </c>
    </row>
    <row r="358" spans="1:17" x14ac:dyDescent="0.35">
      <c r="A358" t="s">
        <v>383</v>
      </c>
      <c r="B358" t="s">
        <v>12</v>
      </c>
      <c r="C358" s="1">
        <v>44806</v>
      </c>
      <c r="D358" s="1">
        <v>44825</v>
      </c>
      <c r="E358" s="1">
        <f>SUM(Table1[[#This Row],[Delivery_Date]]-Table1[[#This Row],[Order_Date]])</f>
        <v>19</v>
      </c>
      <c r="F358" t="s">
        <v>13</v>
      </c>
      <c r="G358" t="s">
        <v>18</v>
      </c>
      <c r="H358">
        <v>51</v>
      </c>
      <c r="I358" s="4">
        <v>63.74</v>
      </c>
      <c r="J358" s="4">
        <v>56.1</v>
      </c>
      <c r="K358" s="4">
        <f>Table1[[#This Row],[Quantity]]*Table1[[#This Row],[Negotiated_Price]]</f>
        <v>2861.1</v>
      </c>
      <c r="L358" s="4">
        <f>Table1[[#This Row],[Quantity]]*Table1[[#This Row],[Unit_Price]]</f>
        <v>3250.7400000000002</v>
      </c>
      <c r="M358" s="4">
        <f>Table1[[#This Row],[Unit_Price]]-Table1[[#This Row],[Negotiated_Price]]</f>
        <v>7.6400000000000006</v>
      </c>
      <c r="N358" s="3">
        <f>(Table1[[#This Row],[Unit_Price]]-Table1[[#This Row],[Negotiated_Price]])/Table1[[#This Row],[Unit_Price]]</f>
        <v>0.11986193912770632</v>
      </c>
      <c r="O358">
        <v>0</v>
      </c>
      <c r="P358" t="s">
        <v>15</v>
      </c>
      <c r="Q358">
        <f>IF(Table1[[#This Row],[Compliance]]="Yes", 1, 0)</f>
        <v>1</v>
      </c>
    </row>
    <row r="359" spans="1:17" x14ac:dyDescent="0.35">
      <c r="A359" t="s">
        <v>384</v>
      </c>
      <c r="B359" t="s">
        <v>20</v>
      </c>
      <c r="C359" s="1">
        <v>44833</v>
      </c>
      <c r="D359" s="1">
        <v>44835</v>
      </c>
      <c r="E359" s="1">
        <f>SUM(Table1[[#This Row],[Delivery_Date]]-Table1[[#This Row],[Order_Date]])</f>
        <v>2</v>
      </c>
      <c r="F359" t="s">
        <v>24</v>
      </c>
      <c r="G359" t="s">
        <v>18</v>
      </c>
      <c r="H359">
        <v>946</v>
      </c>
      <c r="I359" s="4">
        <v>81.77</v>
      </c>
      <c r="J359" s="4">
        <v>71.650000000000006</v>
      </c>
      <c r="K359" s="4">
        <f>Table1[[#This Row],[Quantity]]*Table1[[#This Row],[Negotiated_Price]]</f>
        <v>67780.900000000009</v>
      </c>
      <c r="L359" s="4">
        <f>Table1[[#This Row],[Quantity]]*Table1[[#This Row],[Unit_Price]]</f>
        <v>77354.42</v>
      </c>
      <c r="M359" s="4">
        <f>Table1[[#This Row],[Unit_Price]]-Table1[[#This Row],[Negotiated_Price]]</f>
        <v>10.11999999999999</v>
      </c>
      <c r="N359" s="3">
        <f>(Table1[[#This Row],[Unit_Price]]-Table1[[#This Row],[Negotiated_Price]])/Table1[[#This Row],[Unit_Price]]</f>
        <v>0.12376177082059424</v>
      </c>
      <c r="O359">
        <v>55</v>
      </c>
      <c r="P359" t="s">
        <v>15</v>
      </c>
      <c r="Q359">
        <f>IF(Table1[[#This Row],[Compliance]]="Yes", 1, 0)</f>
        <v>1</v>
      </c>
    </row>
    <row r="360" spans="1:17" x14ac:dyDescent="0.35">
      <c r="A360" t="s">
        <v>385</v>
      </c>
      <c r="B360" t="s">
        <v>29</v>
      </c>
      <c r="C360" s="1">
        <v>44967</v>
      </c>
      <c r="D360" s="1">
        <v>44987</v>
      </c>
      <c r="E360" s="1">
        <f>SUM(Table1[[#This Row],[Delivery_Date]]-Table1[[#This Row],[Order_Date]])</f>
        <v>20</v>
      </c>
      <c r="F360" t="s">
        <v>26</v>
      </c>
      <c r="G360" t="s">
        <v>33</v>
      </c>
      <c r="H360">
        <v>1377</v>
      </c>
      <c r="I360" s="4">
        <v>94.69</v>
      </c>
      <c r="J360" s="4">
        <v>84.2</v>
      </c>
      <c r="K360" s="4">
        <f>Table1[[#This Row],[Quantity]]*Table1[[#This Row],[Negotiated_Price]]</f>
        <v>115943.40000000001</v>
      </c>
      <c r="L360" s="4">
        <f>Table1[[#This Row],[Quantity]]*Table1[[#This Row],[Unit_Price]]</f>
        <v>130388.12999999999</v>
      </c>
      <c r="M360" s="4">
        <f>Table1[[#This Row],[Unit_Price]]-Table1[[#This Row],[Negotiated_Price]]</f>
        <v>10.489999999999995</v>
      </c>
      <c r="N360" s="3">
        <f>(Table1[[#This Row],[Unit_Price]]-Table1[[#This Row],[Negotiated_Price]])/Table1[[#This Row],[Unit_Price]]</f>
        <v>0.11078255359594461</v>
      </c>
      <c r="P360" t="s">
        <v>15</v>
      </c>
      <c r="Q360">
        <f>IF(Table1[[#This Row],[Compliance]]="Yes", 1, 0)</f>
        <v>1</v>
      </c>
    </row>
    <row r="361" spans="1:17" x14ac:dyDescent="0.35">
      <c r="A361" t="s">
        <v>386</v>
      </c>
      <c r="B361" t="s">
        <v>29</v>
      </c>
      <c r="C361" s="1">
        <v>44696</v>
      </c>
      <c r="D361" s="1">
        <v>44699</v>
      </c>
      <c r="E361" s="1">
        <f>SUM(Table1[[#This Row],[Delivery_Date]]-Table1[[#This Row],[Order_Date]])</f>
        <v>3</v>
      </c>
      <c r="F361" t="s">
        <v>24</v>
      </c>
      <c r="G361" t="s">
        <v>14</v>
      </c>
      <c r="H361">
        <v>303</v>
      </c>
      <c r="I361" s="4">
        <v>41.6</v>
      </c>
      <c r="J361" s="4">
        <v>40.51</v>
      </c>
      <c r="K361" s="4">
        <f>Table1[[#This Row],[Quantity]]*Table1[[#This Row],[Negotiated_Price]]</f>
        <v>12274.529999999999</v>
      </c>
      <c r="L361" s="4">
        <f>Table1[[#This Row],[Quantity]]*Table1[[#This Row],[Unit_Price]]</f>
        <v>12604.800000000001</v>
      </c>
      <c r="M361" s="4">
        <f>Table1[[#This Row],[Unit_Price]]-Table1[[#This Row],[Negotiated_Price]]</f>
        <v>1.0900000000000034</v>
      </c>
      <c r="N361" s="3">
        <f>(Table1[[#This Row],[Unit_Price]]-Table1[[#This Row],[Negotiated_Price]])/Table1[[#This Row],[Unit_Price]]</f>
        <v>2.6201923076923157E-2</v>
      </c>
      <c r="O361">
        <v>11</v>
      </c>
      <c r="P361" t="s">
        <v>15</v>
      </c>
      <c r="Q361">
        <f>IF(Table1[[#This Row],[Compliance]]="Yes", 1, 0)</f>
        <v>1</v>
      </c>
    </row>
    <row r="362" spans="1:17" x14ac:dyDescent="0.35">
      <c r="A362" t="s">
        <v>387</v>
      </c>
      <c r="B362" t="s">
        <v>12</v>
      </c>
      <c r="C362" s="1">
        <v>45249</v>
      </c>
      <c r="D362" s="1">
        <v>45263</v>
      </c>
      <c r="E362" s="1">
        <f>SUM(Table1[[#This Row],[Delivery_Date]]-Table1[[#This Row],[Order_Date]])</f>
        <v>14</v>
      </c>
      <c r="F362" t="s">
        <v>26</v>
      </c>
      <c r="G362" t="s">
        <v>18</v>
      </c>
      <c r="H362">
        <v>1725</v>
      </c>
      <c r="I362" s="4">
        <v>93.14</v>
      </c>
      <c r="J362" s="4">
        <v>79.62</v>
      </c>
      <c r="K362" s="4">
        <f>Table1[[#This Row],[Quantity]]*Table1[[#This Row],[Negotiated_Price]]</f>
        <v>137344.5</v>
      </c>
      <c r="L362" s="4">
        <f>Table1[[#This Row],[Quantity]]*Table1[[#This Row],[Unit_Price]]</f>
        <v>160666.5</v>
      </c>
      <c r="M362" s="4">
        <f>Table1[[#This Row],[Unit_Price]]-Table1[[#This Row],[Negotiated_Price]]</f>
        <v>13.519999999999996</v>
      </c>
      <c r="N362" s="3">
        <f>(Table1[[#This Row],[Unit_Price]]-Table1[[#This Row],[Negotiated_Price]])/Table1[[#This Row],[Unit_Price]]</f>
        <v>0.1451578269272063</v>
      </c>
      <c r="O362">
        <v>24</v>
      </c>
      <c r="P362" t="s">
        <v>15</v>
      </c>
      <c r="Q362">
        <f>IF(Table1[[#This Row],[Compliance]]="Yes", 1, 0)</f>
        <v>1</v>
      </c>
    </row>
    <row r="363" spans="1:17" x14ac:dyDescent="0.35">
      <c r="A363" t="s">
        <v>388</v>
      </c>
      <c r="B363" t="s">
        <v>23</v>
      </c>
      <c r="C363" s="1">
        <v>45222</v>
      </c>
      <c r="D363" s="1">
        <v>45237</v>
      </c>
      <c r="E363" s="1">
        <f>SUM(Table1[[#This Row],[Delivery_Date]]-Table1[[#This Row],[Order_Date]])</f>
        <v>15</v>
      </c>
      <c r="F363" t="s">
        <v>26</v>
      </c>
      <c r="G363" t="s">
        <v>14</v>
      </c>
      <c r="H363">
        <v>502</v>
      </c>
      <c r="I363" s="4">
        <v>22.05</v>
      </c>
      <c r="J363" s="4">
        <v>20.65</v>
      </c>
      <c r="K363" s="4">
        <f>Table1[[#This Row],[Quantity]]*Table1[[#This Row],[Negotiated_Price]]</f>
        <v>10366.299999999999</v>
      </c>
      <c r="L363" s="4">
        <f>Table1[[#This Row],[Quantity]]*Table1[[#This Row],[Unit_Price]]</f>
        <v>11069.1</v>
      </c>
      <c r="M363" s="4">
        <f>Table1[[#This Row],[Unit_Price]]-Table1[[#This Row],[Negotiated_Price]]</f>
        <v>1.4000000000000021</v>
      </c>
      <c r="N363" s="3">
        <f>(Table1[[#This Row],[Unit_Price]]-Table1[[#This Row],[Negotiated_Price]])/Table1[[#This Row],[Unit_Price]]</f>
        <v>6.3492063492063586E-2</v>
      </c>
      <c r="O363">
        <v>50</v>
      </c>
      <c r="P363" t="s">
        <v>27</v>
      </c>
      <c r="Q363">
        <f>IF(Table1[[#This Row],[Compliance]]="Yes", 1, 0)</f>
        <v>0</v>
      </c>
    </row>
    <row r="364" spans="1:17" x14ac:dyDescent="0.35">
      <c r="A364" t="s">
        <v>389</v>
      </c>
      <c r="B364" t="s">
        <v>20</v>
      </c>
      <c r="C364" s="1">
        <v>44869</v>
      </c>
      <c r="D364" s="1">
        <v>44876</v>
      </c>
      <c r="E364" s="1">
        <f>SUM(Table1[[#This Row],[Delivery_Date]]-Table1[[#This Row],[Order_Date]])</f>
        <v>7</v>
      </c>
      <c r="F364" t="s">
        <v>24</v>
      </c>
      <c r="G364" t="s">
        <v>18</v>
      </c>
      <c r="H364">
        <v>1110</v>
      </c>
      <c r="I364" s="4">
        <v>90.49</v>
      </c>
      <c r="J364" s="4">
        <v>80.03</v>
      </c>
      <c r="K364" s="4">
        <f>Table1[[#This Row],[Quantity]]*Table1[[#This Row],[Negotiated_Price]]</f>
        <v>88833.3</v>
      </c>
      <c r="L364" s="4">
        <f>Table1[[#This Row],[Quantity]]*Table1[[#This Row],[Unit_Price]]</f>
        <v>100443.9</v>
      </c>
      <c r="M364" s="4">
        <f>Table1[[#This Row],[Unit_Price]]-Table1[[#This Row],[Negotiated_Price]]</f>
        <v>10.459999999999994</v>
      </c>
      <c r="N364" s="3">
        <f>(Table1[[#This Row],[Unit_Price]]-Table1[[#This Row],[Negotiated_Price]])/Table1[[#This Row],[Unit_Price]]</f>
        <v>0.11559288319151281</v>
      </c>
      <c r="O364">
        <v>61</v>
      </c>
      <c r="P364" t="s">
        <v>15</v>
      </c>
      <c r="Q364">
        <f>IF(Table1[[#This Row],[Compliance]]="Yes", 1, 0)</f>
        <v>1</v>
      </c>
    </row>
    <row r="365" spans="1:17" x14ac:dyDescent="0.35">
      <c r="A365" t="s">
        <v>390</v>
      </c>
      <c r="B365" t="s">
        <v>12</v>
      </c>
      <c r="C365" s="1">
        <v>45030</v>
      </c>
      <c r="D365" s="1">
        <v>45034</v>
      </c>
      <c r="E365" s="1">
        <f>SUM(Table1[[#This Row],[Delivery_Date]]-Table1[[#This Row],[Order_Date]])</f>
        <v>4</v>
      </c>
      <c r="F365" t="s">
        <v>24</v>
      </c>
      <c r="G365" t="s">
        <v>18</v>
      </c>
      <c r="H365">
        <v>1233</v>
      </c>
      <c r="I365" s="4">
        <v>23.08</v>
      </c>
      <c r="J365" s="4">
        <v>20.57</v>
      </c>
      <c r="K365" s="4">
        <f>Table1[[#This Row],[Quantity]]*Table1[[#This Row],[Negotiated_Price]]</f>
        <v>25362.81</v>
      </c>
      <c r="L365" s="4">
        <f>Table1[[#This Row],[Quantity]]*Table1[[#This Row],[Unit_Price]]</f>
        <v>28457.64</v>
      </c>
      <c r="M365" s="4">
        <f>Table1[[#This Row],[Unit_Price]]-Table1[[#This Row],[Negotiated_Price]]</f>
        <v>2.509999999999998</v>
      </c>
      <c r="N365" s="3">
        <f>(Table1[[#This Row],[Unit_Price]]-Table1[[#This Row],[Negotiated_Price]])/Table1[[#This Row],[Unit_Price]]</f>
        <v>0.10875216637781621</v>
      </c>
      <c r="P365" t="s">
        <v>15</v>
      </c>
      <c r="Q365">
        <f>IF(Table1[[#This Row],[Compliance]]="Yes", 1, 0)</f>
        <v>1</v>
      </c>
    </row>
    <row r="366" spans="1:17" x14ac:dyDescent="0.35">
      <c r="A366" t="s">
        <v>391</v>
      </c>
      <c r="B366" t="s">
        <v>23</v>
      </c>
      <c r="C366" s="1">
        <v>44885</v>
      </c>
      <c r="D366" s="1">
        <v>44889</v>
      </c>
      <c r="E366" s="1">
        <f>SUM(Table1[[#This Row],[Delivery_Date]]-Table1[[#This Row],[Order_Date]])</f>
        <v>4</v>
      </c>
      <c r="F366" t="s">
        <v>13</v>
      </c>
      <c r="G366" t="s">
        <v>18</v>
      </c>
      <c r="H366">
        <v>1064</v>
      </c>
      <c r="I366" s="4">
        <v>48.04</v>
      </c>
      <c r="J366" s="4">
        <v>43.6</v>
      </c>
      <c r="K366" s="4">
        <f>Table1[[#This Row],[Quantity]]*Table1[[#This Row],[Negotiated_Price]]</f>
        <v>46390.400000000001</v>
      </c>
      <c r="L366" s="4">
        <f>Table1[[#This Row],[Quantity]]*Table1[[#This Row],[Unit_Price]]</f>
        <v>51114.559999999998</v>
      </c>
      <c r="M366" s="4">
        <f>Table1[[#This Row],[Unit_Price]]-Table1[[#This Row],[Negotiated_Price]]</f>
        <v>4.4399999999999977</v>
      </c>
      <c r="N366" s="3">
        <f>(Table1[[#This Row],[Unit_Price]]-Table1[[#This Row],[Negotiated_Price]])/Table1[[#This Row],[Unit_Price]]</f>
        <v>9.2422980849292208E-2</v>
      </c>
      <c r="O366">
        <v>94</v>
      </c>
      <c r="P366" t="s">
        <v>15</v>
      </c>
      <c r="Q366">
        <f>IF(Table1[[#This Row],[Compliance]]="Yes", 1, 0)</f>
        <v>1</v>
      </c>
    </row>
    <row r="367" spans="1:17" x14ac:dyDescent="0.35">
      <c r="A367" t="s">
        <v>392</v>
      </c>
      <c r="B367" t="s">
        <v>29</v>
      </c>
      <c r="C367" s="1">
        <v>44636</v>
      </c>
      <c r="D367" s="1">
        <v>44655</v>
      </c>
      <c r="E367" s="1">
        <f>SUM(Table1[[#This Row],[Delivery_Date]]-Table1[[#This Row],[Order_Date]])</f>
        <v>19</v>
      </c>
      <c r="F367" t="s">
        <v>24</v>
      </c>
      <c r="G367" t="s">
        <v>33</v>
      </c>
      <c r="H367">
        <v>58</v>
      </c>
      <c r="I367" s="4">
        <v>82.57</v>
      </c>
      <c r="J367" s="4">
        <v>76.55</v>
      </c>
      <c r="K367" s="4">
        <f>Table1[[#This Row],[Quantity]]*Table1[[#This Row],[Negotiated_Price]]</f>
        <v>4439.8999999999996</v>
      </c>
      <c r="L367" s="4">
        <f>Table1[[#This Row],[Quantity]]*Table1[[#This Row],[Unit_Price]]</f>
        <v>4789.0599999999995</v>
      </c>
      <c r="M367" s="4">
        <f>Table1[[#This Row],[Unit_Price]]-Table1[[#This Row],[Negotiated_Price]]</f>
        <v>6.019999999999996</v>
      </c>
      <c r="N367" s="3">
        <f>(Table1[[#This Row],[Unit_Price]]-Table1[[#This Row],[Negotiated_Price]])/Table1[[#This Row],[Unit_Price]]</f>
        <v>7.2907835775705421E-2</v>
      </c>
      <c r="P367" t="s">
        <v>15</v>
      </c>
      <c r="Q367">
        <f>IF(Table1[[#This Row],[Compliance]]="Yes", 1, 0)</f>
        <v>1</v>
      </c>
    </row>
    <row r="368" spans="1:17" x14ac:dyDescent="0.35">
      <c r="A368" t="s">
        <v>393</v>
      </c>
      <c r="B368" t="s">
        <v>23</v>
      </c>
      <c r="C368" s="1">
        <v>44571</v>
      </c>
      <c r="D368" s="1">
        <v>44581</v>
      </c>
      <c r="E368" s="1">
        <f>SUM(Table1[[#This Row],[Delivery_Date]]-Table1[[#This Row],[Order_Date]])</f>
        <v>10</v>
      </c>
      <c r="F368" t="s">
        <v>21</v>
      </c>
      <c r="G368" t="s">
        <v>18</v>
      </c>
      <c r="H368">
        <v>1306</v>
      </c>
      <c r="I368" s="4">
        <v>23.49</v>
      </c>
      <c r="J368" s="4">
        <v>20.170000000000002</v>
      </c>
      <c r="K368" s="4">
        <f>Table1[[#This Row],[Quantity]]*Table1[[#This Row],[Negotiated_Price]]</f>
        <v>26342.02</v>
      </c>
      <c r="L368" s="4">
        <f>Table1[[#This Row],[Quantity]]*Table1[[#This Row],[Unit_Price]]</f>
        <v>30677.94</v>
      </c>
      <c r="M368" s="4">
        <f>Table1[[#This Row],[Unit_Price]]-Table1[[#This Row],[Negotiated_Price]]</f>
        <v>3.3199999999999967</v>
      </c>
      <c r="N368" s="3">
        <f>(Table1[[#This Row],[Unit_Price]]-Table1[[#This Row],[Negotiated_Price]])/Table1[[#This Row],[Unit_Price]]</f>
        <v>0.14133673903788832</v>
      </c>
      <c r="O368">
        <v>116</v>
      </c>
      <c r="P368" t="s">
        <v>27</v>
      </c>
      <c r="Q368">
        <f>IF(Table1[[#This Row],[Compliance]]="Yes", 1, 0)</f>
        <v>0</v>
      </c>
    </row>
    <row r="369" spans="1:17" x14ac:dyDescent="0.35">
      <c r="A369" t="s">
        <v>394</v>
      </c>
      <c r="B369" t="s">
        <v>17</v>
      </c>
      <c r="C369" s="1">
        <v>45031</v>
      </c>
      <c r="D369" s="1">
        <v>45044</v>
      </c>
      <c r="E369" s="1">
        <f>SUM(Table1[[#This Row],[Delivery_Date]]-Table1[[#This Row],[Order_Date]])</f>
        <v>13</v>
      </c>
      <c r="F369" t="s">
        <v>39</v>
      </c>
      <c r="G369" t="s">
        <v>18</v>
      </c>
      <c r="H369">
        <v>1172</v>
      </c>
      <c r="I369" s="4">
        <v>32.93</v>
      </c>
      <c r="J369" s="4">
        <v>29.28</v>
      </c>
      <c r="K369" s="4">
        <f>Table1[[#This Row],[Quantity]]*Table1[[#This Row],[Negotiated_Price]]</f>
        <v>34316.160000000003</v>
      </c>
      <c r="L369" s="4">
        <f>Table1[[#This Row],[Quantity]]*Table1[[#This Row],[Unit_Price]]</f>
        <v>38593.96</v>
      </c>
      <c r="M369" s="4">
        <f>Table1[[#This Row],[Unit_Price]]-Table1[[#This Row],[Negotiated_Price]]</f>
        <v>3.6499999999999986</v>
      </c>
      <c r="N369" s="3">
        <f>(Table1[[#This Row],[Unit_Price]]-Table1[[#This Row],[Negotiated_Price]])/Table1[[#This Row],[Unit_Price]]</f>
        <v>0.11084117825690855</v>
      </c>
      <c r="P369" t="s">
        <v>27</v>
      </c>
      <c r="Q369">
        <f>IF(Table1[[#This Row],[Compliance]]="Yes", 1, 0)</f>
        <v>0</v>
      </c>
    </row>
    <row r="370" spans="1:17" hidden="1" x14ac:dyDescent="0.35">
      <c r="A370" t="s">
        <v>395</v>
      </c>
      <c r="B370" t="s">
        <v>12</v>
      </c>
      <c r="C370" s="1">
        <v>45198</v>
      </c>
      <c r="E370" s="1">
        <f>SUM(Table1[[#This Row],[Delivery_Date]]-Table1[[#This Row],[Order_Date]])</f>
        <v>-45198</v>
      </c>
      <c r="F370" t="s">
        <v>24</v>
      </c>
      <c r="G370" t="s">
        <v>18</v>
      </c>
      <c r="H370">
        <v>1732</v>
      </c>
      <c r="I370">
        <v>82.5</v>
      </c>
      <c r="J370">
        <v>71.709999999999994</v>
      </c>
      <c r="K370">
        <f>Table1[[#This Row],[Quantity]]*Table1[[#This Row],[Negotiated_Price]]</f>
        <v>124201.71999999999</v>
      </c>
      <c r="L370" s="5">
        <f>Table1[[#This Row],[Quantity]]*Table1[[#This Row],[Unit_Price]]</f>
        <v>142890</v>
      </c>
      <c r="M370">
        <f>Table1[[#This Row],[Unit_Price]]-Table1[[#This Row],[Negotiated_Price]]</f>
        <v>10.790000000000006</v>
      </c>
      <c r="N370" s="2">
        <f>(Table1[[#This Row],[Unit_Price]]-Table1[[#This Row],[Negotiated_Price]])/Table1[[#This Row],[Unit_Price]]</f>
        <v>0.13078787878787887</v>
      </c>
      <c r="O370">
        <v>24</v>
      </c>
      <c r="P370" t="s">
        <v>15</v>
      </c>
      <c r="Q370">
        <f>IF(Table1[[#This Row],[Compliance]]="Yes", 1, 0)</f>
        <v>1</v>
      </c>
    </row>
    <row r="371" spans="1:17" x14ac:dyDescent="0.35">
      <c r="A371" t="s">
        <v>396</v>
      </c>
      <c r="B371" t="s">
        <v>20</v>
      </c>
      <c r="C371" s="1">
        <v>45138</v>
      </c>
      <c r="D371" s="1">
        <v>45145</v>
      </c>
      <c r="E371" s="1">
        <f>SUM(Table1[[#This Row],[Delivery_Date]]-Table1[[#This Row],[Order_Date]])</f>
        <v>7</v>
      </c>
      <c r="F371" t="s">
        <v>26</v>
      </c>
      <c r="G371" t="s">
        <v>18</v>
      </c>
      <c r="H371">
        <v>865</v>
      </c>
      <c r="I371" s="4">
        <v>81.540000000000006</v>
      </c>
      <c r="J371" s="4">
        <v>71.59</v>
      </c>
      <c r="K371" s="4">
        <f>Table1[[#This Row],[Quantity]]*Table1[[#This Row],[Negotiated_Price]]</f>
        <v>61925.350000000006</v>
      </c>
      <c r="L371" s="4">
        <f>Table1[[#This Row],[Quantity]]*Table1[[#This Row],[Unit_Price]]</f>
        <v>70532.100000000006</v>
      </c>
      <c r="M371" s="4">
        <f>Table1[[#This Row],[Unit_Price]]-Table1[[#This Row],[Negotiated_Price]]</f>
        <v>9.9500000000000028</v>
      </c>
      <c r="N371" s="3">
        <f>(Table1[[#This Row],[Unit_Price]]-Table1[[#This Row],[Negotiated_Price]])/Table1[[#This Row],[Unit_Price]]</f>
        <v>0.12202599950944325</v>
      </c>
      <c r="O371">
        <v>39</v>
      </c>
      <c r="P371" t="s">
        <v>15</v>
      </c>
      <c r="Q371">
        <f>IF(Table1[[#This Row],[Compliance]]="Yes", 1, 0)</f>
        <v>1</v>
      </c>
    </row>
    <row r="372" spans="1:17" x14ac:dyDescent="0.35">
      <c r="A372" t="s">
        <v>397</v>
      </c>
      <c r="B372" t="s">
        <v>23</v>
      </c>
      <c r="C372" s="1">
        <v>44664</v>
      </c>
      <c r="D372" s="1">
        <v>44671</v>
      </c>
      <c r="E372" s="1">
        <f>SUM(Table1[[#This Row],[Delivery_Date]]-Table1[[#This Row],[Order_Date]])</f>
        <v>7</v>
      </c>
      <c r="F372" t="s">
        <v>26</v>
      </c>
      <c r="G372" t="s">
        <v>18</v>
      </c>
      <c r="H372">
        <v>257</v>
      </c>
      <c r="I372" s="4">
        <v>68.72</v>
      </c>
      <c r="J372" s="4">
        <v>66.92</v>
      </c>
      <c r="K372" s="4">
        <f>Table1[[#This Row],[Quantity]]*Table1[[#This Row],[Negotiated_Price]]</f>
        <v>17198.439999999999</v>
      </c>
      <c r="L372" s="4">
        <f>Table1[[#This Row],[Quantity]]*Table1[[#This Row],[Unit_Price]]</f>
        <v>17661.04</v>
      </c>
      <c r="M372" s="4">
        <f>Table1[[#This Row],[Unit_Price]]-Table1[[#This Row],[Negotiated_Price]]</f>
        <v>1.7999999999999972</v>
      </c>
      <c r="N372" s="3">
        <f>(Table1[[#This Row],[Unit_Price]]-Table1[[#This Row],[Negotiated_Price]])/Table1[[#This Row],[Unit_Price]]</f>
        <v>2.619324796274734E-2</v>
      </c>
      <c r="O372">
        <v>22</v>
      </c>
      <c r="P372" t="s">
        <v>15</v>
      </c>
      <c r="Q372">
        <f>IF(Table1[[#This Row],[Compliance]]="Yes", 1, 0)</f>
        <v>1</v>
      </c>
    </row>
    <row r="373" spans="1:17" x14ac:dyDescent="0.35">
      <c r="A373" t="s">
        <v>398</v>
      </c>
      <c r="B373" t="s">
        <v>29</v>
      </c>
      <c r="C373" s="1">
        <v>44637</v>
      </c>
      <c r="D373" s="1">
        <v>44646</v>
      </c>
      <c r="E373" s="1">
        <f>SUM(Table1[[#This Row],[Delivery_Date]]-Table1[[#This Row],[Order_Date]])</f>
        <v>9</v>
      </c>
      <c r="F373" t="s">
        <v>24</v>
      </c>
      <c r="G373" t="s">
        <v>18</v>
      </c>
      <c r="H373">
        <v>1204</v>
      </c>
      <c r="I373" s="4">
        <v>73.180000000000007</v>
      </c>
      <c r="J373" s="4">
        <v>67.59</v>
      </c>
      <c r="K373" s="4">
        <f>Table1[[#This Row],[Quantity]]*Table1[[#This Row],[Negotiated_Price]]</f>
        <v>81378.36</v>
      </c>
      <c r="L373" s="4">
        <f>Table1[[#This Row],[Quantity]]*Table1[[#This Row],[Unit_Price]]</f>
        <v>88108.72</v>
      </c>
      <c r="M373" s="4">
        <f>Table1[[#This Row],[Unit_Price]]-Table1[[#This Row],[Negotiated_Price]]</f>
        <v>5.5900000000000034</v>
      </c>
      <c r="N373" s="3">
        <f>(Table1[[#This Row],[Unit_Price]]-Table1[[#This Row],[Negotiated_Price]])/Table1[[#This Row],[Unit_Price]]</f>
        <v>7.6386990981142433E-2</v>
      </c>
      <c r="O373">
        <v>31</v>
      </c>
      <c r="P373" t="s">
        <v>15</v>
      </c>
      <c r="Q373">
        <f>IF(Table1[[#This Row],[Compliance]]="Yes", 1, 0)</f>
        <v>1</v>
      </c>
    </row>
    <row r="374" spans="1:17" x14ac:dyDescent="0.35">
      <c r="A374" t="s">
        <v>399</v>
      </c>
      <c r="B374" t="s">
        <v>23</v>
      </c>
      <c r="C374" s="1">
        <v>45112</v>
      </c>
      <c r="D374" s="1">
        <v>45116</v>
      </c>
      <c r="E374" s="1">
        <f>SUM(Table1[[#This Row],[Delivery_Date]]-Table1[[#This Row],[Order_Date]])</f>
        <v>4</v>
      </c>
      <c r="F374" t="s">
        <v>39</v>
      </c>
      <c r="G374" t="s">
        <v>33</v>
      </c>
      <c r="H374">
        <v>453</v>
      </c>
      <c r="I374" s="4">
        <v>64.14</v>
      </c>
      <c r="J374" s="4">
        <v>60.18</v>
      </c>
      <c r="K374" s="4">
        <f>Table1[[#This Row],[Quantity]]*Table1[[#This Row],[Negotiated_Price]]</f>
        <v>27261.54</v>
      </c>
      <c r="L374" s="4">
        <f>Table1[[#This Row],[Quantity]]*Table1[[#This Row],[Unit_Price]]</f>
        <v>29055.420000000002</v>
      </c>
      <c r="M374" s="4">
        <f>Table1[[#This Row],[Unit_Price]]-Table1[[#This Row],[Negotiated_Price]]</f>
        <v>3.9600000000000009</v>
      </c>
      <c r="N374" s="3">
        <f>(Table1[[#This Row],[Unit_Price]]-Table1[[#This Row],[Negotiated_Price]])/Table1[[#This Row],[Unit_Price]]</f>
        <v>6.1739943872778313E-2</v>
      </c>
      <c r="O374">
        <v>51</v>
      </c>
      <c r="P374" t="s">
        <v>15</v>
      </c>
      <c r="Q374">
        <f>IF(Table1[[#This Row],[Compliance]]="Yes", 1, 0)</f>
        <v>1</v>
      </c>
    </row>
    <row r="375" spans="1:17" x14ac:dyDescent="0.35">
      <c r="A375" t="s">
        <v>400</v>
      </c>
      <c r="B375" t="s">
        <v>29</v>
      </c>
      <c r="C375" s="1">
        <v>44780</v>
      </c>
      <c r="D375" s="1">
        <v>44794</v>
      </c>
      <c r="E375" s="1">
        <f>SUM(Table1[[#This Row],[Delivery_Date]]-Table1[[#This Row],[Order_Date]])</f>
        <v>14</v>
      </c>
      <c r="F375" t="s">
        <v>39</v>
      </c>
      <c r="G375" t="s">
        <v>18</v>
      </c>
      <c r="H375">
        <v>201</v>
      </c>
      <c r="I375" s="4">
        <v>33.81</v>
      </c>
      <c r="J375" s="4">
        <v>32.54</v>
      </c>
      <c r="K375" s="4">
        <f>Table1[[#This Row],[Quantity]]*Table1[[#This Row],[Negotiated_Price]]</f>
        <v>6540.54</v>
      </c>
      <c r="L375" s="4">
        <f>Table1[[#This Row],[Quantity]]*Table1[[#This Row],[Unit_Price]]</f>
        <v>6795.81</v>
      </c>
      <c r="M375" s="4">
        <f>Table1[[#This Row],[Unit_Price]]-Table1[[#This Row],[Negotiated_Price]]</f>
        <v>1.2700000000000031</v>
      </c>
      <c r="N375" s="3">
        <f>(Table1[[#This Row],[Unit_Price]]-Table1[[#This Row],[Negotiated_Price]])/Table1[[#This Row],[Unit_Price]]</f>
        <v>3.756285122744759E-2</v>
      </c>
      <c r="O375">
        <v>3</v>
      </c>
      <c r="P375" t="s">
        <v>15</v>
      </c>
      <c r="Q375">
        <f>IF(Table1[[#This Row],[Compliance]]="Yes", 1, 0)</f>
        <v>1</v>
      </c>
    </row>
    <row r="376" spans="1:17" x14ac:dyDescent="0.35">
      <c r="A376" t="s">
        <v>401</v>
      </c>
      <c r="B376" t="s">
        <v>17</v>
      </c>
      <c r="C376" s="1">
        <v>45080</v>
      </c>
      <c r="D376" s="1">
        <v>45093</v>
      </c>
      <c r="E376" s="1">
        <f>SUM(Table1[[#This Row],[Delivery_Date]]-Table1[[#This Row],[Order_Date]])</f>
        <v>13</v>
      </c>
      <c r="F376" t="s">
        <v>13</v>
      </c>
      <c r="G376" t="s">
        <v>18</v>
      </c>
      <c r="H376">
        <v>103</v>
      </c>
      <c r="I376" s="4">
        <v>44.61</v>
      </c>
      <c r="J376" s="4">
        <v>42.88</v>
      </c>
      <c r="K376" s="4">
        <f>Table1[[#This Row],[Quantity]]*Table1[[#This Row],[Negotiated_Price]]</f>
        <v>4416.6400000000003</v>
      </c>
      <c r="L376" s="4">
        <f>Table1[[#This Row],[Quantity]]*Table1[[#This Row],[Unit_Price]]</f>
        <v>4594.83</v>
      </c>
      <c r="M376" s="4">
        <f>Table1[[#This Row],[Unit_Price]]-Table1[[#This Row],[Negotiated_Price]]</f>
        <v>1.7299999999999969</v>
      </c>
      <c r="N376" s="3">
        <f>(Table1[[#This Row],[Unit_Price]]-Table1[[#This Row],[Negotiated_Price]])/Table1[[#This Row],[Unit_Price]]</f>
        <v>3.8780542479264671E-2</v>
      </c>
      <c r="O376">
        <v>10</v>
      </c>
      <c r="P376" t="s">
        <v>15</v>
      </c>
      <c r="Q376">
        <f>IF(Table1[[#This Row],[Compliance]]="Yes", 1, 0)</f>
        <v>1</v>
      </c>
    </row>
    <row r="377" spans="1:17" x14ac:dyDescent="0.35">
      <c r="A377" t="s">
        <v>402</v>
      </c>
      <c r="B377" t="s">
        <v>29</v>
      </c>
      <c r="C377" s="1">
        <v>44833</v>
      </c>
      <c r="D377" s="1">
        <v>44841</v>
      </c>
      <c r="E377" s="1">
        <f>SUM(Table1[[#This Row],[Delivery_Date]]-Table1[[#This Row],[Order_Date]])</f>
        <v>8</v>
      </c>
      <c r="F377" t="s">
        <v>13</v>
      </c>
      <c r="G377" t="s">
        <v>18</v>
      </c>
      <c r="H377">
        <v>1193</v>
      </c>
      <c r="I377" s="4">
        <v>27.4</v>
      </c>
      <c r="J377" s="4">
        <v>27.09</v>
      </c>
      <c r="K377" s="4">
        <f>Table1[[#This Row],[Quantity]]*Table1[[#This Row],[Negotiated_Price]]</f>
        <v>32318.37</v>
      </c>
      <c r="L377" s="4">
        <f>Table1[[#This Row],[Quantity]]*Table1[[#This Row],[Unit_Price]]</f>
        <v>32688.199999999997</v>
      </c>
      <c r="M377" s="4">
        <f>Table1[[#This Row],[Unit_Price]]-Table1[[#This Row],[Negotiated_Price]]</f>
        <v>0.30999999999999872</v>
      </c>
      <c r="N377" s="3">
        <f>(Table1[[#This Row],[Unit_Price]]-Table1[[#This Row],[Negotiated_Price]])/Table1[[#This Row],[Unit_Price]]</f>
        <v>1.131386861313864E-2</v>
      </c>
      <c r="P377" t="s">
        <v>15</v>
      </c>
      <c r="Q377">
        <f>IF(Table1[[#This Row],[Compliance]]="Yes", 1, 0)</f>
        <v>1</v>
      </c>
    </row>
    <row r="378" spans="1:17" x14ac:dyDescent="0.35">
      <c r="A378" t="s">
        <v>403</v>
      </c>
      <c r="B378" t="s">
        <v>20</v>
      </c>
      <c r="C378" s="1">
        <v>44697</v>
      </c>
      <c r="D378" s="1">
        <v>44709</v>
      </c>
      <c r="E378" s="1">
        <f>SUM(Table1[[#This Row],[Delivery_Date]]-Table1[[#This Row],[Order_Date]])</f>
        <v>12</v>
      </c>
      <c r="F378" t="s">
        <v>13</v>
      </c>
      <c r="G378" t="s">
        <v>33</v>
      </c>
      <c r="H378">
        <v>1746</v>
      </c>
      <c r="I378" s="4">
        <v>93.6</v>
      </c>
      <c r="J378" s="4">
        <v>89.81</v>
      </c>
      <c r="K378" s="4">
        <f>Table1[[#This Row],[Quantity]]*Table1[[#This Row],[Negotiated_Price]]</f>
        <v>156808.26</v>
      </c>
      <c r="L378" s="4">
        <f>Table1[[#This Row],[Quantity]]*Table1[[#This Row],[Unit_Price]]</f>
        <v>163425.59999999998</v>
      </c>
      <c r="M378" s="4">
        <f>Table1[[#This Row],[Unit_Price]]-Table1[[#This Row],[Negotiated_Price]]</f>
        <v>3.789999999999992</v>
      </c>
      <c r="N378" s="3">
        <f>(Table1[[#This Row],[Unit_Price]]-Table1[[#This Row],[Negotiated_Price]])/Table1[[#This Row],[Unit_Price]]</f>
        <v>4.049145299145291E-2</v>
      </c>
      <c r="O378">
        <v>85</v>
      </c>
      <c r="P378" t="s">
        <v>15</v>
      </c>
      <c r="Q378">
        <f>IF(Table1[[#This Row],[Compliance]]="Yes", 1, 0)</f>
        <v>1</v>
      </c>
    </row>
    <row r="379" spans="1:17" x14ac:dyDescent="0.35">
      <c r="A379" t="s">
        <v>404</v>
      </c>
      <c r="B379" t="s">
        <v>17</v>
      </c>
      <c r="C379" s="1">
        <v>44919</v>
      </c>
      <c r="D379" s="1">
        <v>44921</v>
      </c>
      <c r="E379" s="1">
        <f>SUM(Table1[[#This Row],[Delivery_Date]]-Table1[[#This Row],[Order_Date]])</f>
        <v>2</v>
      </c>
      <c r="F379" t="s">
        <v>39</v>
      </c>
      <c r="G379" t="s">
        <v>18</v>
      </c>
      <c r="H379">
        <v>1993</v>
      </c>
      <c r="I379" s="4">
        <v>65.94</v>
      </c>
      <c r="J379" s="4">
        <v>59.36</v>
      </c>
      <c r="K379" s="4">
        <f>Table1[[#This Row],[Quantity]]*Table1[[#This Row],[Negotiated_Price]]</f>
        <v>118304.48</v>
      </c>
      <c r="L379" s="4">
        <f>Table1[[#This Row],[Quantity]]*Table1[[#This Row],[Unit_Price]]</f>
        <v>131418.41999999998</v>
      </c>
      <c r="M379" s="4">
        <f>Table1[[#This Row],[Unit_Price]]-Table1[[#This Row],[Negotiated_Price]]</f>
        <v>6.5799999999999983</v>
      </c>
      <c r="N379" s="3">
        <f>(Table1[[#This Row],[Unit_Price]]-Table1[[#This Row],[Negotiated_Price]])/Table1[[#This Row],[Unit_Price]]</f>
        <v>9.9787685774946899E-2</v>
      </c>
      <c r="P379" t="s">
        <v>15</v>
      </c>
      <c r="Q379">
        <f>IF(Table1[[#This Row],[Compliance]]="Yes", 1, 0)</f>
        <v>1</v>
      </c>
    </row>
    <row r="380" spans="1:17" x14ac:dyDescent="0.35">
      <c r="A380" t="s">
        <v>405</v>
      </c>
      <c r="B380" t="s">
        <v>23</v>
      </c>
      <c r="C380" s="1">
        <v>44632</v>
      </c>
      <c r="D380" s="1">
        <v>44647</v>
      </c>
      <c r="E380" s="1">
        <f>SUM(Table1[[#This Row],[Delivery_Date]]-Table1[[#This Row],[Order_Date]])</f>
        <v>15</v>
      </c>
      <c r="F380" t="s">
        <v>26</v>
      </c>
      <c r="G380" t="s">
        <v>18</v>
      </c>
      <c r="H380">
        <v>677</v>
      </c>
      <c r="I380" s="4">
        <v>46.54</v>
      </c>
      <c r="J380" s="4">
        <v>43.11</v>
      </c>
      <c r="K380" s="4">
        <f>Table1[[#This Row],[Quantity]]*Table1[[#This Row],[Negotiated_Price]]</f>
        <v>29185.47</v>
      </c>
      <c r="L380" s="4">
        <f>Table1[[#This Row],[Quantity]]*Table1[[#This Row],[Unit_Price]]</f>
        <v>31507.579999999998</v>
      </c>
      <c r="M380" s="4">
        <f>Table1[[#This Row],[Unit_Price]]-Table1[[#This Row],[Negotiated_Price]]</f>
        <v>3.4299999999999997</v>
      </c>
      <c r="N380" s="3">
        <f>(Table1[[#This Row],[Unit_Price]]-Table1[[#This Row],[Negotiated_Price]])/Table1[[#This Row],[Unit_Price]]</f>
        <v>7.370004297378599E-2</v>
      </c>
      <c r="P380" t="s">
        <v>27</v>
      </c>
      <c r="Q380">
        <f>IF(Table1[[#This Row],[Compliance]]="Yes", 1, 0)</f>
        <v>0</v>
      </c>
    </row>
    <row r="381" spans="1:17" hidden="1" x14ac:dyDescent="0.35">
      <c r="A381" t="s">
        <v>406</v>
      </c>
      <c r="B381" t="s">
        <v>12</v>
      </c>
      <c r="C381" s="1">
        <v>44812</v>
      </c>
      <c r="E381" s="1">
        <f>SUM(Table1[[#This Row],[Delivery_Date]]-Table1[[#This Row],[Order_Date]])</f>
        <v>-44812</v>
      </c>
      <c r="F381" t="s">
        <v>13</v>
      </c>
      <c r="G381" t="s">
        <v>35</v>
      </c>
      <c r="H381">
        <v>636</v>
      </c>
      <c r="I381">
        <v>53.64</v>
      </c>
      <c r="J381">
        <v>49.23</v>
      </c>
      <c r="K381">
        <f>Table1[[#This Row],[Quantity]]*Table1[[#This Row],[Negotiated_Price]]</f>
        <v>31310.28</v>
      </c>
      <c r="L381" s="5">
        <f>Table1[[#This Row],[Quantity]]*Table1[[#This Row],[Unit_Price]]</f>
        <v>34115.040000000001</v>
      </c>
      <c r="M381">
        <f>Table1[[#This Row],[Unit_Price]]-Table1[[#This Row],[Negotiated_Price]]</f>
        <v>4.4100000000000037</v>
      </c>
      <c r="N381" s="2">
        <f>(Table1[[#This Row],[Unit_Price]]-Table1[[#This Row],[Negotiated_Price]])/Table1[[#This Row],[Unit_Price]]</f>
        <v>8.2214765100671203E-2</v>
      </c>
      <c r="O381">
        <v>18</v>
      </c>
      <c r="P381" t="s">
        <v>15</v>
      </c>
      <c r="Q381">
        <f>IF(Table1[[#This Row],[Compliance]]="Yes", 1, 0)</f>
        <v>1</v>
      </c>
    </row>
    <row r="382" spans="1:17" x14ac:dyDescent="0.35">
      <c r="A382" t="s">
        <v>407</v>
      </c>
      <c r="B382" t="s">
        <v>29</v>
      </c>
      <c r="C382" s="1">
        <v>44940</v>
      </c>
      <c r="D382" s="1">
        <v>44959</v>
      </c>
      <c r="E382" s="1">
        <f>SUM(Table1[[#This Row],[Delivery_Date]]-Table1[[#This Row],[Order_Date]])</f>
        <v>19</v>
      </c>
      <c r="F382" t="s">
        <v>24</v>
      </c>
      <c r="G382" t="s">
        <v>18</v>
      </c>
      <c r="H382">
        <v>1698</v>
      </c>
      <c r="I382" s="4">
        <v>100.97</v>
      </c>
      <c r="J382" s="4">
        <v>98.73</v>
      </c>
      <c r="K382" s="4">
        <f>Table1[[#This Row],[Quantity]]*Table1[[#This Row],[Negotiated_Price]]</f>
        <v>167643.54</v>
      </c>
      <c r="L382" s="4">
        <f>Table1[[#This Row],[Quantity]]*Table1[[#This Row],[Unit_Price]]</f>
        <v>171447.06</v>
      </c>
      <c r="M382" s="4">
        <f>Table1[[#This Row],[Unit_Price]]-Table1[[#This Row],[Negotiated_Price]]</f>
        <v>2.2399999999999949</v>
      </c>
      <c r="N382" s="3">
        <f>(Table1[[#This Row],[Unit_Price]]-Table1[[#This Row],[Negotiated_Price]])/Table1[[#This Row],[Unit_Price]]</f>
        <v>2.2184807368525253E-2</v>
      </c>
      <c r="O382">
        <v>52</v>
      </c>
      <c r="P382" t="s">
        <v>15</v>
      </c>
      <c r="Q382">
        <f>IF(Table1[[#This Row],[Compliance]]="Yes", 1, 0)</f>
        <v>1</v>
      </c>
    </row>
    <row r="383" spans="1:17" x14ac:dyDescent="0.35">
      <c r="A383" t="s">
        <v>408</v>
      </c>
      <c r="B383" t="s">
        <v>20</v>
      </c>
      <c r="C383" s="1">
        <v>44853</v>
      </c>
      <c r="D383" s="1">
        <v>44866</v>
      </c>
      <c r="E383" s="1">
        <f>SUM(Table1[[#This Row],[Delivery_Date]]-Table1[[#This Row],[Order_Date]])</f>
        <v>13</v>
      </c>
      <c r="F383" t="s">
        <v>13</v>
      </c>
      <c r="G383" t="s">
        <v>18</v>
      </c>
      <c r="H383">
        <v>1493</v>
      </c>
      <c r="I383" s="4">
        <v>24.87</v>
      </c>
      <c r="J383" s="4">
        <v>22.89</v>
      </c>
      <c r="K383" s="4">
        <f>Table1[[#This Row],[Quantity]]*Table1[[#This Row],[Negotiated_Price]]</f>
        <v>34174.770000000004</v>
      </c>
      <c r="L383" s="4">
        <f>Table1[[#This Row],[Quantity]]*Table1[[#This Row],[Unit_Price]]</f>
        <v>37130.910000000003</v>
      </c>
      <c r="M383" s="4">
        <f>Table1[[#This Row],[Unit_Price]]-Table1[[#This Row],[Negotiated_Price]]</f>
        <v>1.9800000000000004</v>
      </c>
      <c r="N383" s="3">
        <f>(Table1[[#This Row],[Unit_Price]]-Table1[[#This Row],[Negotiated_Price]])/Table1[[#This Row],[Unit_Price]]</f>
        <v>7.9613992762364305E-2</v>
      </c>
      <c r="O383">
        <v>56</v>
      </c>
      <c r="P383" t="s">
        <v>15</v>
      </c>
      <c r="Q383">
        <f>IF(Table1[[#This Row],[Compliance]]="Yes", 1, 0)</f>
        <v>1</v>
      </c>
    </row>
    <row r="384" spans="1:17" x14ac:dyDescent="0.35">
      <c r="A384" t="s">
        <v>409</v>
      </c>
      <c r="B384" t="s">
        <v>12</v>
      </c>
      <c r="C384" s="1">
        <v>44723</v>
      </c>
      <c r="D384" s="1">
        <v>44737</v>
      </c>
      <c r="E384" s="1">
        <f>SUM(Table1[[#This Row],[Delivery_Date]]-Table1[[#This Row],[Order_Date]])</f>
        <v>14</v>
      </c>
      <c r="F384" t="s">
        <v>24</v>
      </c>
      <c r="G384" t="s">
        <v>18</v>
      </c>
      <c r="H384">
        <v>1495</v>
      </c>
      <c r="I384" s="4">
        <v>64.33</v>
      </c>
      <c r="J384" s="4">
        <v>58.18</v>
      </c>
      <c r="K384" s="4">
        <f>Table1[[#This Row],[Quantity]]*Table1[[#This Row],[Negotiated_Price]]</f>
        <v>86979.1</v>
      </c>
      <c r="L384" s="4">
        <f>Table1[[#This Row],[Quantity]]*Table1[[#This Row],[Unit_Price]]</f>
        <v>96173.349999999991</v>
      </c>
      <c r="M384" s="4">
        <f>Table1[[#This Row],[Unit_Price]]-Table1[[#This Row],[Negotiated_Price]]</f>
        <v>6.1499999999999986</v>
      </c>
      <c r="N384" s="3">
        <f>(Table1[[#This Row],[Unit_Price]]-Table1[[#This Row],[Negotiated_Price]])/Table1[[#This Row],[Unit_Price]]</f>
        <v>9.5600808332037907E-2</v>
      </c>
      <c r="O384">
        <v>26</v>
      </c>
      <c r="P384" t="s">
        <v>15</v>
      </c>
      <c r="Q384">
        <f>IF(Table1[[#This Row],[Compliance]]="Yes", 1, 0)</f>
        <v>1</v>
      </c>
    </row>
    <row r="385" spans="1:17" x14ac:dyDescent="0.35">
      <c r="A385" t="s">
        <v>410</v>
      </c>
      <c r="B385" t="s">
        <v>12</v>
      </c>
      <c r="C385" s="1">
        <v>45010</v>
      </c>
      <c r="D385" s="1">
        <v>45023</v>
      </c>
      <c r="E385" s="1">
        <f>SUM(Table1[[#This Row],[Delivery_Date]]-Table1[[#This Row],[Order_Date]])</f>
        <v>13</v>
      </c>
      <c r="F385" t="s">
        <v>24</v>
      </c>
      <c r="G385" t="s">
        <v>14</v>
      </c>
      <c r="H385">
        <v>153</v>
      </c>
      <c r="I385" s="4">
        <v>59.42</v>
      </c>
      <c r="J385" s="4">
        <v>52</v>
      </c>
      <c r="K385" s="4">
        <f>Table1[[#This Row],[Quantity]]*Table1[[#This Row],[Negotiated_Price]]</f>
        <v>7956</v>
      </c>
      <c r="L385" s="4">
        <f>Table1[[#This Row],[Quantity]]*Table1[[#This Row],[Unit_Price]]</f>
        <v>9091.26</v>
      </c>
      <c r="M385" s="4">
        <f>Table1[[#This Row],[Unit_Price]]-Table1[[#This Row],[Negotiated_Price]]</f>
        <v>7.4200000000000017</v>
      </c>
      <c r="N385" s="3">
        <f>(Table1[[#This Row],[Unit_Price]]-Table1[[#This Row],[Negotiated_Price]])/Table1[[#This Row],[Unit_Price]]</f>
        <v>0.12487377987209697</v>
      </c>
      <c r="O385">
        <v>3</v>
      </c>
      <c r="P385" t="s">
        <v>15</v>
      </c>
      <c r="Q385">
        <f>IF(Table1[[#This Row],[Compliance]]="Yes", 1, 0)</f>
        <v>1</v>
      </c>
    </row>
    <row r="386" spans="1:17" x14ac:dyDescent="0.35">
      <c r="A386" t="s">
        <v>411</v>
      </c>
      <c r="B386" t="s">
        <v>17</v>
      </c>
      <c r="C386" s="1">
        <v>45118</v>
      </c>
      <c r="D386" s="1">
        <v>45129</v>
      </c>
      <c r="E386" s="1">
        <f>SUM(Table1[[#This Row],[Delivery_Date]]-Table1[[#This Row],[Order_Date]])</f>
        <v>11</v>
      </c>
      <c r="F386" t="s">
        <v>26</v>
      </c>
      <c r="G386" t="s">
        <v>14</v>
      </c>
      <c r="H386">
        <v>1925</v>
      </c>
      <c r="I386" s="4">
        <v>70.88</v>
      </c>
      <c r="J386" s="4">
        <v>63.41</v>
      </c>
      <c r="K386" s="4">
        <f>Table1[[#This Row],[Quantity]]*Table1[[#This Row],[Negotiated_Price]]</f>
        <v>122064.25</v>
      </c>
      <c r="L386" s="4">
        <f>Table1[[#This Row],[Quantity]]*Table1[[#This Row],[Unit_Price]]</f>
        <v>136444</v>
      </c>
      <c r="M386" s="4">
        <f>Table1[[#This Row],[Unit_Price]]-Table1[[#This Row],[Negotiated_Price]]</f>
        <v>7.4699999999999989</v>
      </c>
      <c r="N386" s="3">
        <f>(Table1[[#This Row],[Unit_Price]]-Table1[[#This Row],[Negotiated_Price]])/Table1[[#This Row],[Unit_Price]]</f>
        <v>0.10538939051918735</v>
      </c>
      <c r="O386">
        <v>292</v>
      </c>
      <c r="P386" t="s">
        <v>15</v>
      </c>
      <c r="Q386">
        <f>IF(Table1[[#This Row],[Compliance]]="Yes", 1, 0)</f>
        <v>1</v>
      </c>
    </row>
    <row r="387" spans="1:17" x14ac:dyDescent="0.35">
      <c r="A387" t="s">
        <v>412</v>
      </c>
      <c r="B387" t="s">
        <v>23</v>
      </c>
      <c r="C387" s="1">
        <v>45282</v>
      </c>
      <c r="D387" s="1">
        <v>45302</v>
      </c>
      <c r="E387" s="1">
        <f>SUM(Table1[[#This Row],[Delivery_Date]]-Table1[[#This Row],[Order_Date]])</f>
        <v>20</v>
      </c>
      <c r="F387" t="s">
        <v>24</v>
      </c>
      <c r="G387" t="s">
        <v>18</v>
      </c>
      <c r="H387">
        <v>303</v>
      </c>
      <c r="I387" s="4">
        <v>12.97</v>
      </c>
      <c r="J387" s="4">
        <v>11.42</v>
      </c>
      <c r="K387" s="4">
        <f>Table1[[#This Row],[Quantity]]*Table1[[#This Row],[Negotiated_Price]]</f>
        <v>3460.2599999999998</v>
      </c>
      <c r="L387" s="4">
        <f>Table1[[#This Row],[Quantity]]*Table1[[#This Row],[Unit_Price]]</f>
        <v>3929.9100000000003</v>
      </c>
      <c r="M387" s="4">
        <f>Table1[[#This Row],[Unit_Price]]-Table1[[#This Row],[Negotiated_Price]]</f>
        <v>1.5500000000000007</v>
      </c>
      <c r="N387" s="3">
        <f>(Table1[[#This Row],[Unit_Price]]-Table1[[#This Row],[Negotiated_Price]])/Table1[[#This Row],[Unit_Price]]</f>
        <v>0.11950655358519666</v>
      </c>
      <c r="P387" t="s">
        <v>27</v>
      </c>
      <c r="Q387">
        <f>IF(Table1[[#This Row],[Compliance]]="Yes", 1, 0)</f>
        <v>0</v>
      </c>
    </row>
    <row r="388" spans="1:17" x14ac:dyDescent="0.35">
      <c r="A388" t="s">
        <v>413</v>
      </c>
      <c r="B388" t="s">
        <v>12</v>
      </c>
      <c r="C388" s="1">
        <v>44871</v>
      </c>
      <c r="D388" s="1">
        <v>44883</v>
      </c>
      <c r="E388" s="1">
        <f>SUM(Table1[[#This Row],[Delivery_Date]]-Table1[[#This Row],[Order_Date]])</f>
        <v>12</v>
      </c>
      <c r="F388" t="s">
        <v>13</v>
      </c>
      <c r="G388" t="s">
        <v>18</v>
      </c>
      <c r="H388">
        <v>1300</v>
      </c>
      <c r="I388" s="4">
        <v>92.92</v>
      </c>
      <c r="J388" s="4">
        <v>90.63</v>
      </c>
      <c r="K388" s="4">
        <f>Table1[[#This Row],[Quantity]]*Table1[[#This Row],[Negotiated_Price]]</f>
        <v>117819</v>
      </c>
      <c r="L388" s="4">
        <f>Table1[[#This Row],[Quantity]]*Table1[[#This Row],[Unit_Price]]</f>
        <v>120796</v>
      </c>
      <c r="M388" s="4">
        <f>Table1[[#This Row],[Unit_Price]]-Table1[[#This Row],[Negotiated_Price]]</f>
        <v>2.2900000000000063</v>
      </c>
      <c r="N388" s="3">
        <f>(Table1[[#This Row],[Unit_Price]]-Table1[[#This Row],[Negotiated_Price]])/Table1[[#This Row],[Unit_Price]]</f>
        <v>2.4644855789926885E-2</v>
      </c>
      <c r="P388" t="s">
        <v>15</v>
      </c>
      <c r="Q388">
        <f>IF(Table1[[#This Row],[Compliance]]="Yes", 1, 0)</f>
        <v>1</v>
      </c>
    </row>
    <row r="389" spans="1:17" x14ac:dyDescent="0.35">
      <c r="A389" t="s">
        <v>414</v>
      </c>
      <c r="B389" t="s">
        <v>20</v>
      </c>
      <c r="C389" s="1">
        <v>45188</v>
      </c>
      <c r="D389" s="1">
        <v>45192</v>
      </c>
      <c r="E389" s="1">
        <f>SUM(Table1[[#This Row],[Delivery_Date]]-Table1[[#This Row],[Order_Date]])</f>
        <v>4</v>
      </c>
      <c r="F389" t="s">
        <v>26</v>
      </c>
      <c r="G389" t="s">
        <v>18</v>
      </c>
      <c r="H389">
        <v>1185</v>
      </c>
      <c r="I389" s="4">
        <v>103.28</v>
      </c>
      <c r="J389" s="4">
        <v>99.05</v>
      </c>
      <c r="K389" s="4">
        <f>Table1[[#This Row],[Quantity]]*Table1[[#This Row],[Negotiated_Price]]</f>
        <v>117374.25</v>
      </c>
      <c r="L389" s="4">
        <f>Table1[[#This Row],[Quantity]]*Table1[[#This Row],[Unit_Price]]</f>
        <v>122386.8</v>
      </c>
      <c r="M389" s="4">
        <f>Table1[[#This Row],[Unit_Price]]-Table1[[#This Row],[Negotiated_Price]]</f>
        <v>4.230000000000004</v>
      </c>
      <c r="N389" s="3">
        <f>(Table1[[#This Row],[Unit_Price]]-Table1[[#This Row],[Negotiated_Price]])/Table1[[#This Row],[Unit_Price]]</f>
        <v>4.0956622773044189E-2</v>
      </c>
      <c r="P389" t="s">
        <v>15</v>
      </c>
      <c r="Q389">
        <f>IF(Table1[[#This Row],[Compliance]]="Yes", 1, 0)</f>
        <v>1</v>
      </c>
    </row>
    <row r="390" spans="1:17" x14ac:dyDescent="0.35">
      <c r="A390" t="s">
        <v>415</v>
      </c>
      <c r="B390" t="s">
        <v>29</v>
      </c>
      <c r="C390" s="1">
        <v>45231</v>
      </c>
      <c r="D390" s="1">
        <v>45250</v>
      </c>
      <c r="E390" s="1">
        <f>SUM(Table1[[#This Row],[Delivery_Date]]-Table1[[#This Row],[Order_Date]])</f>
        <v>19</v>
      </c>
      <c r="F390" t="s">
        <v>26</v>
      </c>
      <c r="G390" t="s">
        <v>18</v>
      </c>
      <c r="H390">
        <v>559</v>
      </c>
      <c r="I390" s="4">
        <v>67.56</v>
      </c>
      <c r="J390" s="4">
        <v>57.98</v>
      </c>
      <c r="K390" s="4">
        <f>Table1[[#This Row],[Quantity]]*Table1[[#This Row],[Negotiated_Price]]</f>
        <v>32410.82</v>
      </c>
      <c r="L390" s="4">
        <f>Table1[[#This Row],[Quantity]]*Table1[[#This Row],[Unit_Price]]</f>
        <v>37766.04</v>
      </c>
      <c r="M390" s="4">
        <f>Table1[[#This Row],[Unit_Price]]-Table1[[#This Row],[Negotiated_Price]]</f>
        <v>9.5800000000000054</v>
      </c>
      <c r="N390" s="3">
        <f>(Table1[[#This Row],[Unit_Price]]-Table1[[#This Row],[Negotiated_Price]])/Table1[[#This Row],[Unit_Price]]</f>
        <v>0.14179988158673779</v>
      </c>
      <c r="O390">
        <v>15</v>
      </c>
      <c r="P390" t="s">
        <v>15</v>
      </c>
      <c r="Q390">
        <f>IF(Table1[[#This Row],[Compliance]]="Yes", 1, 0)</f>
        <v>1</v>
      </c>
    </row>
    <row r="391" spans="1:17" x14ac:dyDescent="0.35">
      <c r="A391" t="s">
        <v>416</v>
      </c>
      <c r="B391" t="s">
        <v>29</v>
      </c>
      <c r="C391" s="1">
        <v>45103</v>
      </c>
      <c r="D391" s="1">
        <v>45106</v>
      </c>
      <c r="E391" s="1">
        <f>SUM(Table1[[#This Row],[Delivery_Date]]-Table1[[#This Row],[Order_Date]])</f>
        <v>3</v>
      </c>
      <c r="F391" t="s">
        <v>39</v>
      </c>
      <c r="G391" t="s">
        <v>35</v>
      </c>
      <c r="H391">
        <v>1546</v>
      </c>
      <c r="I391" s="4">
        <v>78.88</v>
      </c>
      <c r="J391" s="4">
        <v>78</v>
      </c>
      <c r="K391" s="4">
        <f>Table1[[#This Row],[Quantity]]*Table1[[#This Row],[Negotiated_Price]]</f>
        <v>120588</v>
      </c>
      <c r="L391" s="4">
        <f>Table1[[#This Row],[Quantity]]*Table1[[#This Row],[Unit_Price]]</f>
        <v>121948.48</v>
      </c>
      <c r="M391" s="4">
        <f>Table1[[#This Row],[Unit_Price]]-Table1[[#This Row],[Negotiated_Price]]</f>
        <v>0.87999999999999545</v>
      </c>
      <c r="N391" s="3">
        <f>(Table1[[#This Row],[Unit_Price]]-Table1[[#This Row],[Negotiated_Price]])/Table1[[#This Row],[Unit_Price]]</f>
        <v>1.1156186612576008E-2</v>
      </c>
      <c r="O391">
        <v>38</v>
      </c>
      <c r="P391" t="s">
        <v>15</v>
      </c>
      <c r="Q391">
        <f>IF(Table1[[#This Row],[Compliance]]="Yes", 1, 0)</f>
        <v>1</v>
      </c>
    </row>
    <row r="392" spans="1:17" x14ac:dyDescent="0.35">
      <c r="A392" t="s">
        <v>417</v>
      </c>
      <c r="B392" t="s">
        <v>29</v>
      </c>
      <c r="C392" s="1">
        <v>44570</v>
      </c>
      <c r="D392" s="1">
        <v>44580</v>
      </c>
      <c r="E392" s="1">
        <f>SUM(Table1[[#This Row],[Delivery_Date]]-Table1[[#This Row],[Order_Date]])</f>
        <v>10</v>
      </c>
      <c r="F392" t="s">
        <v>24</v>
      </c>
      <c r="G392" t="s">
        <v>18</v>
      </c>
      <c r="H392">
        <v>148</v>
      </c>
      <c r="I392" s="4">
        <v>93.02</v>
      </c>
      <c r="J392" s="4">
        <v>85.96</v>
      </c>
      <c r="K392" s="4">
        <f>Table1[[#This Row],[Quantity]]*Table1[[#This Row],[Negotiated_Price]]</f>
        <v>12722.08</v>
      </c>
      <c r="L392" s="4">
        <f>Table1[[#This Row],[Quantity]]*Table1[[#This Row],[Unit_Price]]</f>
        <v>13766.96</v>
      </c>
      <c r="M392" s="4">
        <f>Table1[[#This Row],[Unit_Price]]-Table1[[#This Row],[Negotiated_Price]]</f>
        <v>7.0600000000000023</v>
      </c>
      <c r="N392" s="3">
        <f>(Table1[[#This Row],[Unit_Price]]-Table1[[#This Row],[Negotiated_Price]])/Table1[[#This Row],[Unit_Price]]</f>
        <v>7.5897656417974663E-2</v>
      </c>
      <c r="O392">
        <v>4</v>
      </c>
      <c r="P392" t="s">
        <v>15</v>
      </c>
      <c r="Q392">
        <f>IF(Table1[[#This Row],[Compliance]]="Yes", 1, 0)</f>
        <v>1</v>
      </c>
    </row>
    <row r="393" spans="1:17" x14ac:dyDescent="0.35">
      <c r="A393" t="s">
        <v>418</v>
      </c>
      <c r="B393" t="s">
        <v>17</v>
      </c>
      <c r="C393" s="1">
        <v>45245</v>
      </c>
      <c r="D393" s="1">
        <v>45253</v>
      </c>
      <c r="E393" s="1">
        <f>SUM(Table1[[#This Row],[Delivery_Date]]-Table1[[#This Row],[Order_Date]])</f>
        <v>8</v>
      </c>
      <c r="F393" t="s">
        <v>13</v>
      </c>
      <c r="G393" t="s">
        <v>18</v>
      </c>
      <c r="H393">
        <v>202</v>
      </c>
      <c r="I393" s="4">
        <v>81.75</v>
      </c>
      <c r="J393" s="4">
        <v>78.260000000000005</v>
      </c>
      <c r="K393" s="4">
        <f>Table1[[#This Row],[Quantity]]*Table1[[#This Row],[Negotiated_Price]]</f>
        <v>15808.52</v>
      </c>
      <c r="L393" s="4">
        <f>Table1[[#This Row],[Quantity]]*Table1[[#This Row],[Unit_Price]]</f>
        <v>16513.5</v>
      </c>
      <c r="M393" s="4">
        <f>Table1[[#This Row],[Unit_Price]]-Table1[[#This Row],[Negotiated_Price]]</f>
        <v>3.4899999999999949</v>
      </c>
      <c r="N393" s="3">
        <f>(Table1[[#This Row],[Unit_Price]]-Table1[[#This Row],[Negotiated_Price]])/Table1[[#This Row],[Unit_Price]]</f>
        <v>4.2691131498470883E-2</v>
      </c>
      <c r="O393">
        <v>37</v>
      </c>
      <c r="P393" t="s">
        <v>27</v>
      </c>
      <c r="Q393">
        <f>IF(Table1[[#This Row],[Compliance]]="Yes", 1, 0)</f>
        <v>0</v>
      </c>
    </row>
    <row r="394" spans="1:17" x14ac:dyDescent="0.35">
      <c r="A394" t="s">
        <v>419</v>
      </c>
      <c r="B394" t="s">
        <v>20</v>
      </c>
      <c r="C394" s="1">
        <v>45129</v>
      </c>
      <c r="D394" s="1">
        <v>45135</v>
      </c>
      <c r="E394" s="1">
        <f>SUM(Table1[[#This Row],[Delivery_Date]]-Table1[[#This Row],[Order_Date]])</f>
        <v>6</v>
      </c>
      <c r="F394" t="s">
        <v>24</v>
      </c>
      <c r="G394" t="s">
        <v>18</v>
      </c>
      <c r="H394">
        <v>1934</v>
      </c>
      <c r="I394" s="4">
        <v>25.86</v>
      </c>
      <c r="J394" s="4">
        <v>25.6</v>
      </c>
      <c r="K394" s="4">
        <f>Table1[[#This Row],[Quantity]]*Table1[[#This Row],[Negotiated_Price]]</f>
        <v>49510.400000000001</v>
      </c>
      <c r="L394" s="4">
        <f>Table1[[#This Row],[Quantity]]*Table1[[#This Row],[Unit_Price]]</f>
        <v>50013.24</v>
      </c>
      <c r="M394" s="4">
        <f>Table1[[#This Row],[Unit_Price]]-Table1[[#This Row],[Negotiated_Price]]</f>
        <v>0.25999999999999801</v>
      </c>
      <c r="N394" s="3">
        <f>(Table1[[#This Row],[Unit_Price]]-Table1[[#This Row],[Negotiated_Price]])/Table1[[#This Row],[Unit_Price]]</f>
        <v>1.0054137664346404E-2</v>
      </c>
      <c r="O394">
        <v>78</v>
      </c>
      <c r="P394" t="s">
        <v>15</v>
      </c>
      <c r="Q394">
        <f>IF(Table1[[#This Row],[Compliance]]="Yes", 1, 0)</f>
        <v>1</v>
      </c>
    </row>
    <row r="395" spans="1:17" x14ac:dyDescent="0.35">
      <c r="A395" t="s">
        <v>420</v>
      </c>
      <c r="B395" t="s">
        <v>12</v>
      </c>
      <c r="C395" s="1">
        <v>44868</v>
      </c>
      <c r="D395" s="1">
        <v>44872</v>
      </c>
      <c r="E395" s="1">
        <f>SUM(Table1[[#This Row],[Delivery_Date]]-Table1[[#This Row],[Order_Date]])</f>
        <v>4</v>
      </c>
      <c r="F395" t="s">
        <v>13</v>
      </c>
      <c r="G395" t="s">
        <v>18</v>
      </c>
      <c r="H395">
        <v>963</v>
      </c>
      <c r="I395" s="4">
        <v>64.959999999999994</v>
      </c>
      <c r="J395" s="4">
        <v>64.069999999999993</v>
      </c>
      <c r="K395" s="4">
        <f>Table1[[#This Row],[Quantity]]*Table1[[#This Row],[Negotiated_Price]]</f>
        <v>61699.409999999996</v>
      </c>
      <c r="L395" s="4">
        <f>Table1[[#This Row],[Quantity]]*Table1[[#This Row],[Unit_Price]]</f>
        <v>62556.479999999996</v>
      </c>
      <c r="M395" s="4">
        <f>Table1[[#This Row],[Unit_Price]]-Table1[[#This Row],[Negotiated_Price]]</f>
        <v>0.89000000000000057</v>
      </c>
      <c r="N395" s="3">
        <f>(Table1[[#This Row],[Unit_Price]]-Table1[[#This Row],[Negotiated_Price]])/Table1[[#This Row],[Unit_Price]]</f>
        <v>1.3700738916256167E-2</v>
      </c>
      <c r="O395">
        <v>20</v>
      </c>
      <c r="P395" t="s">
        <v>15</v>
      </c>
      <c r="Q395">
        <f>IF(Table1[[#This Row],[Compliance]]="Yes", 1, 0)</f>
        <v>1</v>
      </c>
    </row>
    <row r="396" spans="1:17" x14ac:dyDescent="0.35">
      <c r="A396" t="s">
        <v>421</v>
      </c>
      <c r="B396" t="s">
        <v>20</v>
      </c>
      <c r="C396" s="1">
        <v>45241</v>
      </c>
      <c r="D396" s="1">
        <v>45248</v>
      </c>
      <c r="E396" s="1">
        <f>SUM(Table1[[#This Row],[Delivery_Date]]-Table1[[#This Row],[Order_Date]])</f>
        <v>7</v>
      </c>
      <c r="F396" t="s">
        <v>21</v>
      </c>
      <c r="G396" t="s">
        <v>18</v>
      </c>
      <c r="H396">
        <v>1969</v>
      </c>
      <c r="I396" s="4">
        <v>71.709999999999994</v>
      </c>
      <c r="J396" s="4">
        <v>61.96</v>
      </c>
      <c r="K396" s="4">
        <f>Table1[[#This Row],[Quantity]]*Table1[[#This Row],[Negotiated_Price]]</f>
        <v>121999.24</v>
      </c>
      <c r="L396" s="4">
        <f>Table1[[#This Row],[Quantity]]*Table1[[#This Row],[Unit_Price]]</f>
        <v>141196.99</v>
      </c>
      <c r="M396" s="4">
        <f>Table1[[#This Row],[Unit_Price]]-Table1[[#This Row],[Negotiated_Price]]</f>
        <v>9.7499999999999929</v>
      </c>
      <c r="N396" s="3">
        <f>(Table1[[#This Row],[Unit_Price]]-Table1[[#This Row],[Negotiated_Price]])/Table1[[#This Row],[Unit_Price]]</f>
        <v>0.13596430065541756</v>
      </c>
      <c r="P396" t="s">
        <v>15</v>
      </c>
      <c r="Q396">
        <f>IF(Table1[[#This Row],[Compliance]]="Yes", 1, 0)</f>
        <v>1</v>
      </c>
    </row>
    <row r="397" spans="1:17" hidden="1" x14ac:dyDescent="0.35">
      <c r="A397" t="s">
        <v>422</v>
      </c>
      <c r="B397" t="s">
        <v>17</v>
      </c>
      <c r="C397" s="1">
        <v>44668</v>
      </c>
      <c r="E397" s="1">
        <f>SUM(Table1[[#This Row],[Delivery_Date]]-Table1[[#This Row],[Order_Date]])</f>
        <v>-44668</v>
      </c>
      <c r="F397" t="s">
        <v>39</v>
      </c>
      <c r="G397" t="s">
        <v>18</v>
      </c>
      <c r="H397">
        <v>927</v>
      </c>
      <c r="I397">
        <v>48.89</v>
      </c>
      <c r="J397">
        <v>46.05</v>
      </c>
      <c r="K397">
        <f>Table1[[#This Row],[Quantity]]*Table1[[#This Row],[Negotiated_Price]]</f>
        <v>42688.35</v>
      </c>
      <c r="L397" s="5">
        <f>Table1[[#This Row],[Quantity]]*Table1[[#This Row],[Unit_Price]]</f>
        <v>45321.03</v>
      </c>
      <c r="M397">
        <f>Table1[[#This Row],[Unit_Price]]-Table1[[#This Row],[Negotiated_Price]]</f>
        <v>2.8400000000000034</v>
      </c>
      <c r="N397" s="2">
        <f>(Table1[[#This Row],[Unit_Price]]-Table1[[#This Row],[Negotiated_Price]])/Table1[[#This Row],[Unit_Price]]</f>
        <v>5.8089588872980227E-2</v>
      </c>
      <c r="O397">
        <v>138</v>
      </c>
      <c r="P397" t="s">
        <v>15</v>
      </c>
      <c r="Q397">
        <f>IF(Table1[[#This Row],[Compliance]]="Yes", 1, 0)</f>
        <v>1</v>
      </c>
    </row>
    <row r="398" spans="1:17" x14ac:dyDescent="0.35">
      <c r="A398" t="s">
        <v>423</v>
      </c>
      <c r="B398" t="s">
        <v>17</v>
      </c>
      <c r="C398" s="1">
        <v>44699</v>
      </c>
      <c r="D398" s="1">
        <v>44704</v>
      </c>
      <c r="E398" s="1">
        <f>SUM(Table1[[#This Row],[Delivery_Date]]-Table1[[#This Row],[Order_Date]])</f>
        <v>5</v>
      </c>
      <c r="F398" t="s">
        <v>26</v>
      </c>
      <c r="G398" t="s">
        <v>14</v>
      </c>
      <c r="H398">
        <v>387</v>
      </c>
      <c r="I398" s="4">
        <v>77.81</v>
      </c>
      <c r="J398" s="4">
        <v>69.040000000000006</v>
      </c>
      <c r="K398" s="4">
        <f>Table1[[#This Row],[Quantity]]*Table1[[#This Row],[Negotiated_Price]]</f>
        <v>26718.480000000003</v>
      </c>
      <c r="L398" s="4">
        <f>Table1[[#This Row],[Quantity]]*Table1[[#This Row],[Unit_Price]]</f>
        <v>30112.47</v>
      </c>
      <c r="M398" s="4">
        <f>Table1[[#This Row],[Unit_Price]]-Table1[[#This Row],[Negotiated_Price]]</f>
        <v>8.769999999999996</v>
      </c>
      <c r="N398" s="3">
        <f>(Table1[[#This Row],[Unit_Price]]-Table1[[#This Row],[Negotiated_Price]])/Table1[[#This Row],[Unit_Price]]</f>
        <v>0.11271044852846672</v>
      </c>
      <c r="O398">
        <v>67</v>
      </c>
      <c r="P398" t="s">
        <v>15</v>
      </c>
      <c r="Q398">
        <f>IF(Table1[[#This Row],[Compliance]]="Yes", 1, 0)</f>
        <v>1</v>
      </c>
    </row>
    <row r="399" spans="1:17" x14ac:dyDescent="0.35">
      <c r="A399" t="s">
        <v>424</v>
      </c>
      <c r="B399" t="s">
        <v>23</v>
      </c>
      <c r="C399" s="1">
        <v>44832</v>
      </c>
      <c r="D399" s="1">
        <v>44837</v>
      </c>
      <c r="E399" s="1">
        <f>SUM(Table1[[#This Row],[Delivery_Date]]-Table1[[#This Row],[Order_Date]])</f>
        <v>5</v>
      </c>
      <c r="F399" t="s">
        <v>39</v>
      </c>
      <c r="G399" t="s">
        <v>18</v>
      </c>
      <c r="H399">
        <v>1779</v>
      </c>
      <c r="I399" s="4">
        <v>97.86</v>
      </c>
      <c r="J399" s="4">
        <v>94.36</v>
      </c>
      <c r="K399" s="4">
        <f>Table1[[#This Row],[Quantity]]*Table1[[#This Row],[Negotiated_Price]]</f>
        <v>167866.44</v>
      </c>
      <c r="L399" s="4">
        <f>Table1[[#This Row],[Quantity]]*Table1[[#This Row],[Unit_Price]]</f>
        <v>174092.94</v>
      </c>
      <c r="M399" s="4">
        <f>Table1[[#This Row],[Unit_Price]]-Table1[[#This Row],[Negotiated_Price]]</f>
        <v>3.5</v>
      </c>
      <c r="N399" s="3">
        <f>(Table1[[#This Row],[Unit_Price]]-Table1[[#This Row],[Negotiated_Price]])/Table1[[#This Row],[Unit_Price]]</f>
        <v>3.5765379113018601E-2</v>
      </c>
      <c r="O399">
        <v>176</v>
      </c>
      <c r="P399" t="s">
        <v>15</v>
      </c>
      <c r="Q399">
        <f>IF(Table1[[#This Row],[Compliance]]="Yes", 1, 0)</f>
        <v>1</v>
      </c>
    </row>
    <row r="400" spans="1:17" x14ac:dyDescent="0.35">
      <c r="A400" t="s">
        <v>425</v>
      </c>
      <c r="B400" t="s">
        <v>20</v>
      </c>
      <c r="C400" s="1">
        <v>44680</v>
      </c>
      <c r="D400" s="1">
        <v>44686</v>
      </c>
      <c r="E400" s="1">
        <f>SUM(Table1[[#This Row],[Delivery_Date]]-Table1[[#This Row],[Order_Date]])</f>
        <v>6</v>
      </c>
      <c r="F400" t="s">
        <v>21</v>
      </c>
      <c r="G400" t="s">
        <v>35</v>
      </c>
      <c r="H400">
        <v>871</v>
      </c>
      <c r="I400" s="4">
        <v>94.7</v>
      </c>
      <c r="J400" s="4">
        <v>92.66</v>
      </c>
      <c r="K400" s="4">
        <f>Table1[[#This Row],[Quantity]]*Table1[[#This Row],[Negotiated_Price]]</f>
        <v>80706.86</v>
      </c>
      <c r="L400" s="4">
        <f>Table1[[#This Row],[Quantity]]*Table1[[#This Row],[Unit_Price]]</f>
        <v>82483.7</v>
      </c>
      <c r="M400" s="4">
        <f>Table1[[#This Row],[Unit_Price]]-Table1[[#This Row],[Negotiated_Price]]</f>
        <v>2.0400000000000063</v>
      </c>
      <c r="N400" s="3">
        <f>(Table1[[#This Row],[Unit_Price]]-Table1[[#This Row],[Negotiated_Price]])/Table1[[#This Row],[Unit_Price]]</f>
        <v>2.1541710665258777E-2</v>
      </c>
      <c r="O400">
        <v>46</v>
      </c>
      <c r="P400" t="s">
        <v>15</v>
      </c>
      <c r="Q400">
        <f>IF(Table1[[#This Row],[Compliance]]="Yes", 1, 0)</f>
        <v>1</v>
      </c>
    </row>
    <row r="401" spans="1:17" x14ac:dyDescent="0.35">
      <c r="A401" t="s">
        <v>426</v>
      </c>
      <c r="B401" t="s">
        <v>29</v>
      </c>
      <c r="C401" s="1">
        <v>44671</v>
      </c>
      <c r="D401" s="1">
        <v>44674</v>
      </c>
      <c r="E401" s="1">
        <f>SUM(Table1[[#This Row],[Delivery_Date]]-Table1[[#This Row],[Order_Date]])</f>
        <v>3</v>
      </c>
      <c r="F401" t="s">
        <v>39</v>
      </c>
      <c r="G401" t="s">
        <v>18</v>
      </c>
      <c r="H401">
        <v>1236</v>
      </c>
      <c r="I401" s="4">
        <v>51.33</v>
      </c>
      <c r="J401" s="4">
        <v>44.03</v>
      </c>
      <c r="K401" s="4">
        <f>Table1[[#This Row],[Quantity]]*Table1[[#This Row],[Negotiated_Price]]</f>
        <v>54421.08</v>
      </c>
      <c r="L401" s="4">
        <f>Table1[[#This Row],[Quantity]]*Table1[[#This Row],[Unit_Price]]</f>
        <v>63443.88</v>
      </c>
      <c r="M401" s="4">
        <f>Table1[[#This Row],[Unit_Price]]-Table1[[#This Row],[Negotiated_Price]]</f>
        <v>7.2999999999999972</v>
      </c>
      <c r="N401" s="3">
        <f>(Table1[[#This Row],[Unit_Price]]-Table1[[#This Row],[Negotiated_Price]])/Table1[[#This Row],[Unit_Price]]</f>
        <v>0.14221702707968045</v>
      </c>
      <c r="O401">
        <v>25</v>
      </c>
      <c r="P401" t="s">
        <v>15</v>
      </c>
      <c r="Q401">
        <f>IF(Table1[[#This Row],[Compliance]]="Yes", 1, 0)</f>
        <v>1</v>
      </c>
    </row>
    <row r="402" spans="1:17" x14ac:dyDescent="0.35">
      <c r="A402" t="s">
        <v>427</v>
      </c>
      <c r="B402" t="s">
        <v>17</v>
      </c>
      <c r="C402" s="1">
        <v>45128</v>
      </c>
      <c r="D402" s="1">
        <v>45144</v>
      </c>
      <c r="E402" s="1">
        <f>SUM(Table1[[#This Row],[Delivery_Date]]-Table1[[#This Row],[Order_Date]])</f>
        <v>16</v>
      </c>
      <c r="F402" t="s">
        <v>39</v>
      </c>
      <c r="G402" t="s">
        <v>18</v>
      </c>
      <c r="H402">
        <v>1793</v>
      </c>
      <c r="I402" s="4">
        <v>22.01</v>
      </c>
      <c r="J402" s="4">
        <v>21.78</v>
      </c>
      <c r="K402" s="4">
        <f>Table1[[#This Row],[Quantity]]*Table1[[#This Row],[Negotiated_Price]]</f>
        <v>39051.54</v>
      </c>
      <c r="L402" s="4">
        <f>Table1[[#This Row],[Quantity]]*Table1[[#This Row],[Unit_Price]]</f>
        <v>39463.93</v>
      </c>
      <c r="M402" s="4">
        <f>Table1[[#This Row],[Unit_Price]]-Table1[[#This Row],[Negotiated_Price]]</f>
        <v>0.23000000000000043</v>
      </c>
      <c r="N402" s="3">
        <f>(Table1[[#This Row],[Unit_Price]]-Table1[[#This Row],[Negotiated_Price]])/Table1[[#This Row],[Unit_Price]]</f>
        <v>1.0449795547478437E-2</v>
      </c>
      <c r="O402">
        <v>285</v>
      </c>
      <c r="P402" t="s">
        <v>15</v>
      </c>
      <c r="Q402">
        <f>IF(Table1[[#This Row],[Compliance]]="Yes", 1, 0)</f>
        <v>1</v>
      </c>
    </row>
    <row r="403" spans="1:17" x14ac:dyDescent="0.35">
      <c r="A403" t="s">
        <v>428</v>
      </c>
      <c r="B403" t="s">
        <v>17</v>
      </c>
      <c r="C403" s="1">
        <v>44721</v>
      </c>
      <c r="D403" s="1">
        <v>44740</v>
      </c>
      <c r="E403" s="1">
        <f>SUM(Table1[[#This Row],[Delivery_Date]]-Table1[[#This Row],[Order_Date]])</f>
        <v>19</v>
      </c>
      <c r="F403" t="s">
        <v>21</v>
      </c>
      <c r="G403" t="s">
        <v>18</v>
      </c>
      <c r="H403">
        <v>1006</v>
      </c>
      <c r="I403" s="4">
        <v>101.1</v>
      </c>
      <c r="J403" s="4">
        <v>89.04</v>
      </c>
      <c r="K403" s="4">
        <f>Table1[[#This Row],[Quantity]]*Table1[[#This Row],[Negotiated_Price]]</f>
        <v>89574.24</v>
      </c>
      <c r="L403" s="4">
        <f>Table1[[#This Row],[Quantity]]*Table1[[#This Row],[Unit_Price]]</f>
        <v>101706.59999999999</v>
      </c>
      <c r="M403" s="4">
        <f>Table1[[#This Row],[Unit_Price]]-Table1[[#This Row],[Negotiated_Price]]</f>
        <v>12.059999999999988</v>
      </c>
      <c r="N403" s="3">
        <f>(Table1[[#This Row],[Unit_Price]]-Table1[[#This Row],[Negotiated_Price]])/Table1[[#This Row],[Unit_Price]]</f>
        <v>0.11928783382789307</v>
      </c>
      <c r="O403">
        <v>139</v>
      </c>
      <c r="P403" t="s">
        <v>15</v>
      </c>
      <c r="Q403">
        <f>IF(Table1[[#This Row],[Compliance]]="Yes", 1, 0)</f>
        <v>1</v>
      </c>
    </row>
    <row r="404" spans="1:17" x14ac:dyDescent="0.35">
      <c r="A404" t="s">
        <v>429</v>
      </c>
      <c r="B404" t="s">
        <v>23</v>
      </c>
      <c r="C404" s="1">
        <v>44840</v>
      </c>
      <c r="D404" s="1">
        <v>44855</v>
      </c>
      <c r="E404" s="1">
        <f>SUM(Table1[[#This Row],[Delivery_Date]]-Table1[[#This Row],[Order_Date]])</f>
        <v>15</v>
      </c>
      <c r="F404" t="s">
        <v>39</v>
      </c>
      <c r="G404" t="s">
        <v>14</v>
      </c>
      <c r="H404">
        <v>1754</v>
      </c>
      <c r="I404" s="4">
        <v>89.35</v>
      </c>
      <c r="J404" s="4">
        <v>86.54</v>
      </c>
      <c r="K404" s="4">
        <f>Table1[[#This Row],[Quantity]]*Table1[[#This Row],[Negotiated_Price]]</f>
        <v>151791.16</v>
      </c>
      <c r="L404" s="4">
        <f>Table1[[#This Row],[Quantity]]*Table1[[#This Row],[Unit_Price]]</f>
        <v>156719.9</v>
      </c>
      <c r="M404" s="4">
        <f>Table1[[#This Row],[Unit_Price]]-Table1[[#This Row],[Negotiated_Price]]</f>
        <v>2.8099999999999881</v>
      </c>
      <c r="N404" s="3">
        <f>(Table1[[#This Row],[Unit_Price]]-Table1[[#This Row],[Negotiated_Price]])/Table1[[#This Row],[Unit_Price]]</f>
        <v>3.1449356463346262E-2</v>
      </c>
      <c r="O404">
        <v>161</v>
      </c>
      <c r="P404" t="s">
        <v>27</v>
      </c>
      <c r="Q404">
        <f>IF(Table1[[#This Row],[Compliance]]="Yes", 1, 0)</f>
        <v>0</v>
      </c>
    </row>
    <row r="405" spans="1:17" x14ac:dyDescent="0.35">
      <c r="A405" t="s">
        <v>430</v>
      </c>
      <c r="B405" t="s">
        <v>29</v>
      </c>
      <c r="C405" s="1">
        <v>44850</v>
      </c>
      <c r="D405" s="1">
        <v>44869</v>
      </c>
      <c r="E405" s="1">
        <f>SUM(Table1[[#This Row],[Delivery_Date]]-Table1[[#This Row],[Order_Date]])</f>
        <v>19</v>
      </c>
      <c r="F405" t="s">
        <v>39</v>
      </c>
      <c r="G405" t="s">
        <v>18</v>
      </c>
      <c r="H405">
        <v>210</v>
      </c>
      <c r="I405" s="4">
        <v>22.17</v>
      </c>
      <c r="J405" s="4">
        <v>21.32</v>
      </c>
      <c r="K405" s="4">
        <f>Table1[[#This Row],[Quantity]]*Table1[[#This Row],[Negotiated_Price]]</f>
        <v>4477.2</v>
      </c>
      <c r="L405" s="4">
        <f>Table1[[#This Row],[Quantity]]*Table1[[#This Row],[Unit_Price]]</f>
        <v>4655.7000000000007</v>
      </c>
      <c r="M405" s="4">
        <f>Table1[[#This Row],[Unit_Price]]-Table1[[#This Row],[Negotiated_Price]]</f>
        <v>0.85000000000000142</v>
      </c>
      <c r="N405" s="3">
        <f>(Table1[[#This Row],[Unit_Price]]-Table1[[#This Row],[Negotiated_Price]])/Table1[[#This Row],[Unit_Price]]</f>
        <v>3.8340099233198074E-2</v>
      </c>
      <c r="O405">
        <v>10</v>
      </c>
      <c r="P405" t="s">
        <v>15</v>
      </c>
      <c r="Q405">
        <f>IF(Table1[[#This Row],[Compliance]]="Yes", 1, 0)</f>
        <v>1</v>
      </c>
    </row>
    <row r="406" spans="1:17" x14ac:dyDescent="0.35">
      <c r="A406" t="s">
        <v>431</v>
      </c>
      <c r="B406" t="s">
        <v>17</v>
      </c>
      <c r="C406" s="1">
        <v>45181</v>
      </c>
      <c r="D406" s="1">
        <v>45201</v>
      </c>
      <c r="E406" s="1">
        <f>SUM(Table1[[#This Row],[Delivery_Date]]-Table1[[#This Row],[Order_Date]])</f>
        <v>20</v>
      </c>
      <c r="F406" t="s">
        <v>21</v>
      </c>
      <c r="G406" t="s">
        <v>18</v>
      </c>
      <c r="H406">
        <v>1653</v>
      </c>
      <c r="I406" s="4">
        <v>102.16</v>
      </c>
      <c r="J406" s="4">
        <v>91.91</v>
      </c>
      <c r="K406" s="4">
        <f>Table1[[#This Row],[Quantity]]*Table1[[#This Row],[Negotiated_Price]]</f>
        <v>151927.22999999998</v>
      </c>
      <c r="L406" s="4">
        <f>Table1[[#This Row],[Quantity]]*Table1[[#This Row],[Unit_Price]]</f>
        <v>168870.47999999998</v>
      </c>
      <c r="M406" s="4">
        <f>Table1[[#This Row],[Unit_Price]]-Table1[[#This Row],[Negotiated_Price]]</f>
        <v>10.25</v>
      </c>
      <c r="N406" s="3">
        <f>(Table1[[#This Row],[Unit_Price]]-Table1[[#This Row],[Negotiated_Price]])/Table1[[#This Row],[Unit_Price]]</f>
        <v>0.10033281127642914</v>
      </c>
      <c r="O406">
        <v>217</v>
      </c>
      <c r="P406" t="s">
        <v>15</v>
      </c>
      <c r="Q406">
        <f>IF(Table1[[#This Row],[Compliance]]="Yes", 1, 0)</f>
        <v>1</v>
      </c>
    </row>
    <row r="407" spans="1:17" x14ac:dyDescent="0.35">
      <c r="A407" t="s">
        <v>432</v>
      </c>
      <c r="B407" t="s">
        <v>12</v>
      </c>
      <c r="C407" s="1">
        <v>44777</v>
      </c>
      <c r="D407" s="1">
        <v>44788</v>
      </c>
      <c r="E407" s="1">
        <f>SUM(Table1[[#This Row],[Delivery_Date]]-Table1[[#This Row],[Order_Date]])</f>
        <v>11</v>
      </c>
      <c r="F407" t="s">
        <v>21</v>
      </c>
      <c r="G407" t="s">
        <v>33</v>
      </c>
      <c r="H407">
        <v>850</v>
      </c>
      <c r="I407" s="4">
        <v>91.38</v>
      </c>
      <c r="J407" s="4">
        <v>88.41</v>
      </c>
      <c r="K407" s="4">
        <f>Table1[[#This Row],[Quantity]]*Table1[[#This Row],[Negotiated_Price]]</f>
        <v>75148.5</v>
      </c>
      <c r="L407" s="4">
        <f>Table1[[#This Row],[Quantity]]*Table1[[#This Row],[Unit_Price]]</f>
        <v>77673</v>
      </c>
      <c r="M407" s="4">
        <f>Table1[[#This Row],[Unit_Price]]-Table1[[#This Row],[Negotiated_Price]]</f>
        <v>2.9699999999999989</v>
      </c>
      <c r="N407" s="3">
        <f>(Table1[[#This Row],[Unit_Price]]-Table1[[#This Row],[Negotiated_Price]])/Table1[[#This Row],[Unit_Price]]</f>
        <v>3.2501641497045292E-2</v>
      </c>
      <c r="O407">
        <v>24</v>
      </c>
      <c r="P407" t="s">
        <v>15</v>
      </c>
      <c r="Q407">
        <f>IF(Table1[[#This Row],[Compliance]]="Yes", 1, 0)</f>
        <v>1</v>
      </c>
    </row>
    <row r="408" spans="1:17" x14ac:dyDescent="0.35">
      <c r="A408" t="s">
        <v>433</v>
      </c>
      <c r="B408" t="s">
        <v>29</v>
      </c>
      <c r="C408" s="1">
        <v>44913</v>
      </c>
      <c r="D408" s="1">
        <v>44916</v>
      </c>
      <c r="E408" s="1">
        <f>SUM(Table1[[#This Row],[Delivery_Date]]-Table1[[#This Row],[Order_Date]])</f>
        <v>3</v>
      </c>
      <c r="F408" t="s">
        <v>26</v>
      </c>
      <c r="G408" t="s">
        <v>18</v>
      </c>
      <c r="H408">
        <v>447</v>
      </c>
      <c r="I408" s="4">
        <v>59.81</v>
      </c>
      <c r="J408" s="4">
        <v>57.92</v>
      </c>
      <c r="K408" s="4">
        <f>Table1[[#This Row],[Quantity]]*Table1[[#This Row],[Negotiated_Price]]</f>
        <v>25890.240000000002</v>
      </c>
      <c r="L408" s="4">
        <f>Table1[[#This Row],[Quantity]]*Table1[[#This Row],[Unit_Price]]</f>
        <v>26735.07</v>
      </c>
      <c r="M408" s="4">
        <f>Table1[[#This Row],[Unit_Price]]-Table1[[#This Row],[Negotiated_Price]]</f>
        <v>1.8900000000000006</v>
      </c>
      <c r="N408" s="3">
        <f>(Table1[[#This Row],[Unit_Price]]-Table1[[#This Row],[Negotiated_Price]])/Table1[[#This Row],[Unit_Price]]</f>
        <v>3.1600066878448428E-2</v>
      </c>
      <c r="O408">
        <v>13</v>
      </c>
      <c r="P408" t="s">
        <v>15</v>
      </c>
      <c r="Q408">
        <f>IF(Table1[[#This Row],[Compliance]]="Yes", 1, 0)</f>
        <v>1</v>
      </c>
    </row>
    <row r="409" spans="1:17" x14ac:dyDescent="0.35">
      <c r="A409" t="s">
        <v>434</v>
      </c>
      <c r="B409" t="s">
        <v>20</v>
      </c>
      <c r="C409" s="1">
        <v>44770</v>
      </c>
      <c r="D409" s="1">
        <v>44780</v>
      </c>
      <c r="E409" s="1">
        <f>SUM(Table1[[#This Row],[Delivery_Date]]-Table1[[#This Row],[Order_Date]])</f>
        <v>10</v>
      </c>
      <c r="F409" t="s">
        <v>13</v>
      </c>
      <c r="G409" t="s">
        <v>18</v>
      </c>
      <c r="H409">
        <v>1350</v>
      </c>
      <c r="I409" s="4">
        <v>65.11</v>
      </c>
      <c r="J409" s="4">
        <v>56.95</v>
      </c>
      <c r="K409" s="4">
        <f>Table1[[#This Row],[Quantity]]*Table1[[#This Row],[Negotiated_Price]]</f>
        <v>76882.5</v>
      </c>
      <c r="L409" s="4">
        <f>Table1[[#This Row],[Quantity]]*Table1[[#This Row],[Unit_Price]]</f>
        <v>87898.5</v>
      </c>
      <c r="M409" s="4">
        <f>Table1[[#This Row],[Unit_Price]]-Table1[[#This Row],[Negotiated_Price]]</f>
        <v>8.1599999999999966</v>
      </c>
      <c r="N409" s="3">
        <f>(Table1[[#This Row],[Unit_Price]]-Table1[[#This Row],[Negotiated_Price]])/Table1[[#This Row],[Unit_Price]]</f>
        <v>0.12532637075718012</v>
      </c>
      <c r="O409">
        <v>71</v>
      </c>
      <c r="P409" t="s">
        <v>15</v>
      </c>
      <c r="Q409">
        <f>IF(Table1[[#This Row],[Compliance]]="Yes", 1, 0)</f>
        <v>1</v>
      </c>
    </row>
    <row r="410" spans="1:17" x14ac:dyDescent="0.35">
      <c r="A410" t="s">
        <v>435</v>
      </c>
      <c r="B410" t="s">
        <v>23</v>
      </c>
      <c r="C410" s="1">
        <v>45265</v>
      </c>
      <c r="D410" s="1">
        <v>45284</v>
      </c>
      <c r="E410" s="1">
        <f>SUM(Table1[[#This Row],[Delivery_Date]]-Table1[[#This Row],[Order_Date]])</f>
        <v>19</v>
      </c>
      <c r="F410" t="s">
        <v>13</v>
      </c>
      <c r="G410" t="s">
        <v>18</v>
      </c>
      <c r="H410">
        <v>865</v>
      </c>
      <c r="I410" s="4">
        <v>51.19</v>
      </c>
      <c r="J410" s="4">
        <v>47.76</v>
      </c>
      <c r="K410" s="4">
        <f>Table1[[#This Row],[Quantity]]*Table1[[#This Row],[Negotiated_Price]]</f>
        <v>41312.400000000001</v>
      </c>
      <c r="L410" s="4">
        <f>Table1[[#This Row],[Quantity]]*Table1[[#This Row],[Unit_Price]]</f>
        <v>44279.35</v>
      </c>
      <c r="M410" s="4">
        <f>Table1[[#This Row],[Unit_Price]]-Table1[[#This Row],[Negotiated_Price]]</f>
        <v>3.4299999999999997</v>
      </c>
      <c r="N410" s="3">
        <f>(Table1[[#This Row],[Unit_Price]]-Table1[[#This Row],[Negotiated_Price]])/Table1[[#This Row],[Unit_Price]]</f>
        <v>6.7005274467669462E-2</v>
      </c>
      <c r="O410">
        <v>83</v>
      </c>
      <c r="P410" t="s">
        <v>15</v>
      </c>
      <c r="Q410">
        <f>IF(Table1[[#This Row],[Compliance]]="Yes", 1, 0)</f>
        <v>1</v>
      </c>
    </row>
    <row r="411" spans="1:17" x14ac:dyDescent="0.35">
      <c r="A411" t="s">
        <v>436</v>
      </c>
      <c r="B411" t="s">
        <v>12</v>
      </c>
      <c r="C411" s="1">
        <v>45211</v>
      </c>
      <c r="D411" s="1">
        <v>45228</v>
      </c>
      <c r="E411" s="1">
        <f>SUM(Table1[[#This Row],[Delivery_Date]]-Table1[[#This Row],[Order_Date]])</f>
        <v>17</v>
      </c>
      <c r="F411" t="s">
        <v>21</v>
      </c>
      <c r="G411" t="s">
        <v>18</v>
      </c>
      <c r="H411">
        <v>1989</v>
      </c>
      <c r="I411" s="4">
        <v>16.5</v>
      </c>
      <c r="J411" s="4">
        <v>15.89</v>
      </c>
      <c r="K411" s="4">
        <f>Table1[[#This Row],[Quantity]]*Table1[[#This Row],[Negotiated_Price]]</f>
        <v>31605.210000000003</v>
      </c>
      <c r="L411" s="4">
        <f>Table1[[#This Row],[Quantity]]*Table1[[#This Row],[Unit_Price]]</f>
        <v>32818.5</v>
      </c>
      <c r="M411" s="4">
        <f>Table1[[#This Row],[Unit_Price]]-Table1[[#This Row],[Negotiated_Price]]</f>
        <v>0.60999999999999943</v>
      </c>
      <c r="N411" s="3">
        <f>(Table1[[#This Row],[Unit_Price]]-Table1[[#This Row],[Negotiated_Price]])/Table1[[#This Row],[Unit_Price]]</f>
        <v>3.6969696969696937E-2</v>
      </c>
      <c r="O411">
        <v>57</v>
      </c>
      <c r="P411" t="s">
        <v>15</v>
      </c>
      <c r="Q411">
        <f>IF(Table1[[#This Row],[Compliance]]="Yes", 1, 0)</f>
        <v>1</v>
      </c>
    </row>
    <row r="412" spans="1:17" x14ac:dyDescent="0.35">
      <c r="A412" t="s">
        <v>437</v>
      </c>
      <c r="B412" t="s">
        <v>12</v>
      </c>
      <c r="C412" s="1">
        <v>44832</v>
      </c>
      <c r="D412" s="1">
        <v>44847</v>
      </c>
      <c r="E412" s="1">
        <f>SUM(Table1[[#This Row],[Delivery_Date]]-Table1[[#This Row],[Order_Date]])</f>
        <v>15</v>
      </c>
      <c r="F412" t="s">
        <v>13</v>
      </c>
      <c r="G412" t="s">
        <v>18</v>
      </c>
      <c r="H412">
        <v>1577</v>
      </c>
      <c r="I412" s="4">
        <v>41.77</v>
      </c>
      <c r="J412" s="4">
        <v>39.58</v>
      </c>
      <c r="K412" s="4">
        <f>Table1[[#This Row],[Quantity]]*Table1[[#This Row],[Negotiated_Price]]</f>
        <v>62417.659999999996</v>
      </c>
      <c r="L412" s="4">
        <f>Table1[[#This Row],[Quantity]]*Table1[[#This Row],[Unit_Price]]</f>
        <v>65871.290000000008</v>
      </c>
      <c r="M412" s="4">
        <f>Table1[[#This Row],[Unit_Price]]-Table1[[#This Row],[Negotiated_Price]]</f>
        <v>2.1900000000000048</v>
      </c>
      <c r="N412" s="3">
        <f>(Table1[[#This Row],[Unit_Price]]-Table1[[#This Row],[Negotiated_Price]])/Table1[[#This Row],[Unit_Price]]</f>
        <v>5.2429973665310145E-2</v>
      </c>
      <c r="O412">
        <v>32</v>
      </c>
      <c r="P412" t="s">
        <v>15</v>
      </c>
      <c r="Q412">
        <f>IF(Table1[[#This Row],[Compliance]]="Yes", 1, 0)</f>
        <v>1</v>
      </c>
    </row>
    <row r="413" spans="1:17" x14ac:dyDescent="0.35">
      <c r="A413" t="s">
        <v>438</v>
      </c>
      <c r="B413" t="s">
        <v>20</v>
      </c>
      <c r="C413" s="1">
        <v>45079</v>
      </c>
      <c r="D413" s="1">
        <v>45081</v>
      </c>
      <c r="E413" s="1">
        <f>SUM(Table1[[#This Row],[Delivery_Date]]-Table1[[#This Row],[Order_Date]])</f>
        <v>2</v>
      </c>
      <c r="F413" t="s">
        <v>24</v>
      </c>
      <c r="G413" t="s">
        <v>35</v>
      </c>
      <c r="H413">
        <v>1969</v>
      </c>
      <c r="I413" s="4">
        <v>89.25</v>
      </c>
      <c r="J413" s="4">
        <v>87.28</v>
      </c>
      <c r="K413" s="4">
        <f>Table1[[#This Row],[Quantity]]*Table1[[#This Row],[Negotiated_Price]]</f>
        <v>171854.32</v>
      </c>
      <c r="L413" s="4">
        <f>Table1[[#This Row],[Quantity]]*Table1[[#This Row],[Unit_Price]]</f>
        <v>175733.25</v>
      </c>
      <c r="M413" s="4">
        <f>Table1[[#This Row],[Unit_Price]]-Table1[[#This Row],[Negotiated_Price]]</f>
        <v>1.9699999999999989</v>
      </c>
      <c r="N413" s="3">
        <f>(Table1[[#This Row],[Unit_Price]]-Table1[[#This Row],[Negotiated_Price]])/Table1[[#This Row],[Unit_Price]]</f>
        <v>2.2072829131652649E-2</v>
      </c>
      <c r="O413">
        <v>108</v>
      </c>
      <c r="P413" t="s">
        <v>27</v>
      </c>
      <c r="Q413">
        <f>IF(Table1[[#This Row],[Compliance]]="Yes", 1, 0)</f>
        <v>0</v>
      </c>
    </row>
    <row r="414" spans="1:17" x14ac:dyDescent="0.35">
      <c r="A414" t="s">
        <v>439</v>
      </c>
      <c r="B414" t="s">
        <v>23</v>
      </c>
      <c r="C414" s="1">
        <v>45062</v>
      </c>
      <c r="D414" s="1">
        <v>45072</v>
      </c>
      <c r="E414" s="1">
        <f>SUM(Table1[[#This Row],[Delivery_Date]]-Table1[[#This Row],[Order_Date]])</f>
        <v>10</v>
      </c>
      <c r="F414" t="s">
        <v>24</v>
      </c>
      <c r="G414" t="s">
        <v>33</v>
      </c>
      <c r="H414">
        <v>1465</v>
      </c>
      <c r="I414" s="4">
        <v>11.25</v>
      </c>
      <c r="J414" s="4">
        <v>9.61</v>
      </c>
      <c r="K414" s="4">
        <f>Table1[[#This Row],[Quantity]]*Table1[[#This Row],[Negotiated_Price]]</f>
        <v>14078.65</v>
      </c>
      <c r="L414" s="4">
        <f>Table1[[#This Row],[Quantity]]*Table1[[#This Row],[Unit_Price]]</f>
        <v>16481.25</v>
      </c>
      <c r="M414" s="4">
        <f>Table1[[#This Row],[Unit_Price]]-Table1[[#This Row],[Negotiated_Price]]</f>
        <v>1.6400000000000006</v>
      </c>
      <c r="N414" s="3">
        <f>(Table1[[#This Row],[Unit_Price]]-Table1[[#This Row],[Negotiated_Price]])/Table1[[#This Row],[Unit_Price]]</f>
        <v>0.14577777777777784</v>
      </c>
      <c r="O414">
        <v>151</v>
      </c>
      <c r="P414" t="s">
        <v>15</v>
      </c>
      <c r="Q414">
        <f>IF(Table1[[#This Row],[Compliance]]="Yes", 1, 0)</f>
        <v>1</v>
      </c>
    </row>
    <row r="415" spans="1:17" x14ac:dyDescent="0.35">
      <c r="A415" t="s">
        <v>440</v>
      </c>
      <c r="B415" t="s">
        <v>17</v>
      </c>
      <c r="C415" s="1">
        <v>44819</v>
      </c>
      <c r="D415" s="1">
        <v>44822</v>
      </c>
      <c r="E415" s="1">
        <f>SUM(Table1[[#This Row],[Delivery_Date]]-Table1[[#This Row],[Order_Date]])</f>
        <v>3</v>
      </c>
      <c r="F415" t="s">
        <v>24</v>
      </c>
      <c r="G415" t="s">
        <v>35</v>
      </c>
      <c r="H415">
        <v>1208</v>
      </c>
      <c r="I415" s="4">
        <v>41.62</v>
      </c>
      <c r="J415" s="4">
        <v>39.46</v>
      </c>
      <c r="K415" s="4">
        <f>Table1[[#This Row],[Quantity]]*Table1[[#This Row],[Negotiated_Price]]</f>
        <v>47667.68</v>
      </c>
      <c r="L415" s="4">
        <f>Table1[[#This Row],[Quantity]]*Table1[[#This Row],[Unit_Price]]</f>
        <v>50276.959999999999</v>
      </c>
      <c r="M415" s="4">
        <f>Table1[[#This Row],[Unit_Price]]-Table1[[#This Row],[Negotiated_Price]]</f>
        <v>2.1599999999999966</v>
      </c>
      <c r="N415" s="3">
        <f>(Table1[[#This Row],[Unit_Price]]-Table1[[#This Row],[Negotiated_Price]])/Table1[[#This Row],[Unit_Price]]</f>
        <v>5.1898125901009048E-2</v>
      </c>
      <c r="P415" t="s">
        <v>15</v>
      </c>
      <c r="Q415">
        <f>IF(Table1[[#This Row],[Compliance]]="Yes", 1, 0)</f>
        <v>1</v>
      </c>
    </row>
    <row r="416" spans="1:17" x14ac:dyDescent="0.35">
      <c r="A416" t="s">
        <v>441</v>
      </c>
      <c r="B416" t="s">
        <v>23</v>
      </c>
      <c r="C416" s="1">
        <v>44614</v>
      </c>
      <c r="D416" s="1">
        <v>44631</v>
      </c>
      <c r="E416" s="1">
        <f>SUM(Table1[[#This Row],[Delivery_Date]]-Table1[[#This Row],[Order_Date]])</f>
        <v>17</v>
      </c>
      <c r="F416" t="s">
        <v>26</v>
      </c>
      <c r="G416" t="s">
        <v>18</v>
      </c>
      <c r="H416">
        <v>1268</v>
      </c>
      <c r="I416" s="4">
        <v>46.06</v>
      </c>
      <c r="J416" s="4">
        <v>45.26</v>
      </c>
      <c r="K416" s="4">
        <f>Table1[[#This Row],[Quantity]]*Table1[[#This Row],[Negotiated_Price]]</f>
        <v>57389.68</v>
      </c>
      <c r="L416" s="4">
        <f>Table1[[#This Row],[Quantity]]*Table1[[#This Row],[Unit_Price]]</f>
        <v>58404.08</v>
      </c>
      <c r="M416" s="4">
        <f>Table1[[#This Row],[Unit_Price]]-Table1[[#This Row],[Negotiated_Price]]</f>
        <v>0.80000000000000426</v>
      </c>
      <c r="N416" s="3">
        <f>(Table1[[#This Row],[Unit_Price]]-Table1[[#This Row],[Negotiated_Price]])/Table1[[#This Row],[Unit_Price]]</f>
        <v>1.7368649587494664E-2</v>
      </c>
      <c r="O416">
        <v>123</v>
      </c>
      <c r="P416" t="s">
        <v>15</v>
      </c>
      <c r="Q416">
        <f>IF(Table1[[#This Row],[Compliance]]="Yes", 1, 0)</f>
        <v>1</v>
      </c>
    </row>
    <row r="417" spans="1:17" x14ac:dyDescent="0.35">
      <c r="A417" t="s">
        <v>442</v>
      </c>
      <c r="B417" t="s">
        <v>17</v>
      </c>
      <c r="C417" s="1">
        <v>44656</v>
      </c>
      <c r="D417" s="1">
        <v>44675</v>
      </c>
      <c r="E417" s="1">
        <f>SUM(Table1[[#This Row],[Delivery_Date]]-Table1[[#This Row],[Order_Date]])</f>
        <v>19</v>
      </c>
      <c r="F417" t="s">
        <v>13</v>
      </c>
      <c r="G417" t="s">
        <v>18</v>
      </c>
      <c r="H417">
        <v>450</v>
      </c>
      <c r="I417" s="4">
        <v>59.24</v>
      </c>
      <c r="J417" s="4">
        <v>55.03</v>
      </c>
      <c r="K417" s="4">
        <f>Table1[[#This Row],[Quantity]]*Table1[[#This Row],[Negotiated_Price]]</f>
        <v>24763.5</v>
      </c>
      <c r="L417" s="4">
        <f>Table1[[#This Row],[Quantity]]*Table1[[#This Row],[Unit_Price]]</f>
        <v>26658</v>
      </c>
      <c r="M417" s="4">
        <f>Table1[[#This Row],[Unit_Price]]-Table1[[#This Row],[Negotiated_Price]]</f>
        <v>4.2100000000000009</v>
      </c>
      <c r="N417" s="3">
        <f>(Table1[[#This Row],[Unit_Price]]-Table1[[#This Row],[Negotiated_Price]])/Table1[[#This Row],[Unit_Price]]</f>
        <v>7.1066846725185692E-2</v>
      </c>
      <c r="O417">
        <v>68</v>
      </c>
      <c r="P417" t="s">
        <v>27</v>
      </c>
      <c r="Q417">
        <f>IF(Table1[[#This Row],[Compliance]]="Yes", 1, 0)</f>
        <v>0</v>
      </c>
    </row>
    <row r="418" spans="1:17" x14ac:dyDescent="0.35">
      <c r="A418" t="s">
        <v>443</v>
      </c>
      <c r="B418" t="s">
        <v>20</v>
      </c>
      <c r="C418" s="1">
        <v>45211</v>
      </c>
      <c r="D418" s="1">
        <v>45213</v>
      </c>
      <c r="E418" s="1">
        <f>SUM(Table1[[#This Row],[Delivery_Date]]-Table1[[#This Row],[Order_Date]])</f>
        <v>2</v>
      </c>
      <c r="F418" t="s">
        <v>39</v>
      </c>
      <c r="G418" t="s">
        <v>33</v>
      </c>
      <c r="H418">
        <v>689</v>
      </c>
      <c r="I418" s="4">
        <v>102.53</v>
      </c>
      <c r="J418" s="4">
        <v>95.23</v>
      </c>
      <c r="K418" s="4">
        <f>Table1[[#This Row],[Quantity]]*Table1[[#This Row],[Negotiated_Price]]</f>
        <v>65613.47</v>
      </c>
      <c r="L418" s="4">
        <f>Table1[[#This Row],[Quantity]]*Table1[[#This Row],[Unit_Price]]</f>
        <v>70643.17</v>
      </c>
      <c r="M418" s="4">
        <f>Table1[[#This Row],[Unit_Price]]-Table1[[#This Row],[Negotiated_Price]]</f>
        <v>7.2999999999999972</v>
      </c>
      <c r="N418" s="3">
        <f>(Table1[[#This Row],[Unit_Price]]-Table1[[#This Row],[Negotiated_Price]])/Table1[[#This Row],[Unit_Price]]</f>
        <v>7.1198673558958328E-2</v>
      </c>
      <c r="O418">
        <v>38</v>
      </c>
      <c r="P418" t="s">
        <v>15</v>
      </c>
      <c r="Q418">
        <f>IF(Table1[[#This Row],[Compliance]]="Yes", 1, 0)</f>
        <v>1</v>
      </c>
    </row>
    <row r="419" spans="1:17" x14ac:dyDescent="0.35">
      <c r="A419" t="s">
        <v>444</v>
      </c>
      <c r="B419" t="s">
        <v>20</v>
      </c>
      <c r="C419" s="1">
        <v>44995</v>
      </c>
      <c r="D419" s="1">
        <v>45014</v>
      </c>
      <c r="E419" s="1">
        <f>SUM(Table1[[#This Row],[Delivery_Date]]-Table1[[#This Row],[Order_Date]])</f>
        <v>19</v>
      </c>
      <c r="F419" t="s">
        <v>21</v>
      </c>
      <c r="G419" t="s">
        <v>18</v>
      </c>
      <c r="H419">
        <v>1106</v>
      </c>
      <c r="I419" s="4">
        <v>44.05</v>
      </c>
      <c r="J419" s="4">
        <v>38.6</v>
      </c>
      <c r="K419" s="4">
        <f>Table1[[#This Row],[Quantity]]*Table1[[#This Row],[Negotiated_Price]]</f>
        <v>42691.6</v>
      </c>
      <c r="L419" s="4">
        <f>Table1[[#This Row],[Quantity]]*Table1[[#This Row],[Unit_Price]]</f>
        <v>48719.299999999996</v>
      </c>
      <c r="M419" s="4">
        <f>Table1[[#This Row],[Unit_Price]]-Table1[[#This Row],[Negotiated_Price]]</f>
        <v>5.4499999999999957</v>
      </c>
      <c r="N419" s="3">
        <f>(Table1[[#This Row],[Unit_Price]]-Table1[[#This Row],[Negotiated_Price]])/Table1[[#This Row],[Unit_Price]]</f>
        <v>0.12372304199772977</v>
      </c>
      <c r="O419">
        <v>51</v>
      </c>
      <c r="P419" t="s">
        <v>15</v>
      </c>
      <c r="Q419">
        <f>IF(Table1[[#This Row],[Compliance]]="Yes", 1, 0)</f>
        <v>1</v>
      </c>
    </row>
    <row r="420" spans="1:17" x14ac:dyDescent="0.35">
      <c r="A420" t="s">
        <v>445</v>
      </c>
      <c r="B420" t="s">
        <v>12</v>
      </c>
      <c r="C420" s="1">
        <v>44845</v>
      </c>
      <c r="D420" s="1">
        <v>44856</v>
      </c>
      <c r="E420" s="1">
        <f>SUM(Table1[[#This Row],[Delivery_Date]]-Table1[[#This Row],[Order_Date]])</f>
        <v>11</v>
      </c>
      <c r="F420" t="s">
        <v>13</v>
      </c>
      <c r="G420" t="s">
        <v>18</v>
      </c>
      <c r="H420">
        <v>737</v>
      </c>
      <c r="I420" s="4">
        <v>43.08</v>
      </c>
      <c r="J420" s="4">
        <v>42.58</v>
      </c>
      <c r="K420" s="4">
        <f>Table1[[#This Row],[Quantity]]*Table1[[#This Row],[Negotiated_Price]]</f>
        <v>31381.46</v>
      </c>
      <c r="L420" s="4">
        <f>Table1[[#This Row],[Quantity]]*Table1[[#This Row],[Unit_Price]]</f>
        <v>31749.96</v>
      </c>
      <c r="M420" s="4">
        <f>Table1[[#This Row],[Unit_Price]]-Table1[[#This Row],[Negotiated_Price]]</f>
        <v>0.5</v>
      </c>
      <c r="N420" s="3">
        <f>(Table1[[#This Row],[Unit_Price]]-Table1[[#This Row],[Negotiated_Price]])/Table1[[#This Row],[Unit_Price]]</f>
        <v>1.1606313834726092E-2</v>
      </c>
      <c r="O420">
        <v>21</v>
      </c>
      <c r="P420" t="s">
        <v>15</v>
      </c>
      <c r="Q420">
        <f>IF(Table1[[#This Row],[Compliance]]="Yes", 1, 0)</f>
        <v>1</v>
      </c>
    </row>
    <row r="421" spans="1:17" x14ac:dyDescent="0.35">
      <c r="A421" t="s">
        <v>446</v>
      </c>
      <c r="B421" t="s">
        <v>12</v>
      </c>
      <c r="C421" s="1">
        <v>44607</v>
      </c>
      <c r="D421" s="1">
        <v>44624</v>
      </c>
      <c r="E421" s="1">
        <f>SUM(Table1[[#This Row],[Delivery_Date]]-Table1[[#This Row],[Order_Date]])</f>
        <v>17</v>
      </c>
      <c r="F421" t="s">
        <v>26</v>
      </c>
      <c r="G421" t="s">
        <v>18</v>
      </c>
      <c r="H421">
        <v>509</v>
      </c>
      <c r="I421" s="4">
        <v>76.760000000000005</v>
      </c>
      <c r="J421" s="4">
        <v>74.72</v>
      </c>
      <c r="K421" s="4">
        <f>Table1[[#This Row],[Quantity]]*Table1[[#This Row],[Negotiated_Price]]</f>
        <v>38032.479999999996</v>
      </c>
      <c r="L421" s="4">
        <f>Table1[[#This Row],[Quantity]]*Table1[[#This Row],[Unit_Price]]</f>
        <v>39070.840000000004</v>
      </c>
      <c r="M421" s="4">
        <f>Table1[[#This Row],[Unit_Price]]-Table1[[#This Row],[Negotiated_Price]]</f>
        <v>2.0400000000000063</v>
      </c>
      <c r="N421" s="3">
        <f>(Table1[[#This Row],[Unit_Price]]-Table1[[#This Row],[Negotiated_Price]])/Table1[[#This Row],[Unit_Price]]</f>
        <v>2.6576341844710867E-2</v>
      </c>
      <c r="O421">
        <v>7</v>
      </c>
      <c r="P421" t="s">
        <v>27</v>
      </c>
      <c r="Q421">
        <f>IF(Table1[[#This Row],[Compliance]]="Yes", 1, 0)</f>
        <v>0</v>
      </c>
    </row>
    <row r="422" spans="1:17" x14ac:dyDescent="0.35">
      <c r="A422" t="s">
        <v>447</v>
      </c>
      <c r="B422" t="s">
        <v>12</v>
      </c>
      <c r="C422" s="1">
        <v>44565</v>
      </c>
      <c r="D422" s="1">
        <v>44567</v>
      </c>
      <c r="E422" s="1">
        <f>SUM(Table1[[#This Row],[Delivery_Date]]-Table1[[#This Row],[Order_Date]])</f>
        <v>2</v>
      </c>
      <c r="F422" t="s">
        <v>39</v>
      </c>
      <c r="G422" t="s">
        <v>18</v>
      </c>
      <c r="H422">
        <v>1004</v>
      </c>
      <c r="I422" s="4">
        <v>50.7</v>
      </c>
      <c r="J422" s="4">
        <v>46.59</v>
      </c>
      <c r="K422" s="4">
        <f>Table1[[#This Row],[Quantity]]*Table1[[#This Row],[Negotiated_Price]]</f>
        <v>46776.36</v>
      </c>
      <c r="L422" s="4">
        <f>Table1[[#This Row],[Quantity]]*Table1[[#This Row],[Unit_Price]]</f>
        <v>50902.8</v>
      </c>
      <c r="M422" s="4">
        <f>Table1[[#This Row],[Unit_Price]]-Table1[[#This Row],[Negotiated_Price]]</f>
        <v>4.1099999999999994</v>
      </c>
      <c r="N422" s="3">
        <f>(Table1[[#This Row],[Unit_Price]]-Table1[[#This Row],[Negotiated_Price]])/Table1[[#This Row],[Unit_Price]]</f>
        <v>8.1065088757396431E-2</v>
      </c>
      <c r="O422">
        <v>27</v>
      </c>
      <c r="P422" t="s">
        <v>15</v>
      </c>
      <c r="Q422">
        <f>IF(Table1[[#This Row],[Compliance]]="Yes", 1, 0)</f>
        <v>1</v>
      </c>
    </row>
    <row r="423" spans="1:17" x14ac:dyDescent="0.35">
      <c r="A423" t="s">
        <v>448</v>
      </c>
      <c r="B423" t="s">
        <v>20</v>
      </c>
      <c r="C423" s="1">
        <v>44903</v>
      </c>
      <c r="D423" s="1">
        <v>44914</v>
      </c>
      <c r="E423" s="1">
        <f>SUM(Table1[[#This Row],[Delivery_Date]]-Table1[[#This Row],[Order_Date]])</f>
        <v>11</v>
      </c>
      <c r="F423" t="s">
        <v>21</v>
      </c>
      <c r="G423" t="s">
        <v>35</v>
      </c>
      <c r="H423">
        <v>1956</v>
      </c>
      <c r="I423" s="4">
        <v>31.88</v>
      </c>
      <c r="J423" s="4">
        <v>28.48</v>
      </c>
      <c r="K423" s="4">
        <f>Table1[[#This Row],[Quantity]]*Table1[[#This Row],[Negotiated_Price]]</f>
        <v>55706.879999999997</v>
      </c>
      <c r="L423" s="4">
        <f>Table1[[#This Row],[Quantity]]*Table1[[#This Row],[Unit_Price]]</f>
        <v>62357.279999999999</v>
      </c>
      <c r="M423" s="4">
        <f>Table1[[#This Row],[Unit_Price]]-Table1[[#This Row],[Negotiated_Price]]</f>
        <v>3.3999999999999986</v>
      </c>
      <c r="N423" s="3">
        <f>(Table1[[#This Row],[Unit_Price]]-Table1[[#This Row],[Negotiated_Price]])/Table1[[#This Row],[Unit_Price]]</f>
        <v>0.10664993726474274</v>
      </c>
      <c r="O423">
        <v>86</v>
      </c>
      <c r="P423" t="s">
        <v>15</v>
      </c>
      <c r="Q423">
        <f>IF(Table1[[#This Row],[Compliance]]="Yes", 1, 0)</f>
        <v>1</v>
      </c>
    </row>
    <row r="424" spans="1:17" hidden="1" x14ac:dyDescent="0.35">
      <c r="A424" t="s">
        <v>449</v>
      </c>
      <c r="B424" t="s">
        <v>17</v>
      </c>
      <c r="C424" s="1">
        <v>44695</v>
      </c>
      <c r="E424" s="1">
        <f>SUM(Table1[[#This Row],[Delivery_Date]]-Table1[[#This Row],[Order_Date]])</f>
        <v>-44695</v>
      </c>
      <c r="F424" t="s">
        <v>39</v>
      </c>
      <c r="G424" t="s">
        <v>18</v>
      </c>
      <c r="H424">
        <v>519</v>
      </c>
      <c r="I424">
        <v>51.73</v>
      </c>
      <c r="J424">
        <v>47.52</v>
      </c>
      <c r="K424">
        <f>Table1[[#This Row],[Quantity]]*Table1[[#This Row],[Negotiated_Price]]</f>
        <v>24662.880000000001</v>
      </c>
      <c r="L424" s="5">
        <f>Table1[[#This Row],[Quantity]]*Table1[[#This Row],[Unit_Price]]</f>
        <v>26847.87</v>
      </c>
      <c r="M424">
        <f>Table1[[#This Row],[Unit_Price]]-Table1[[#This Row],[Negotiated_Price]]</f>
        <v>4.2099999999999937</v>
      </c>
      <c r="N424" s="2">
        <f>(Table1[[#This Row],[Unit_Price]]-Table1[[#This Row],[Negotiated_Price]])/Table1[[#This Row],[Unit_Price]]</f>
        <v>8.1384109800889115E-2</v>
      </c>
      <c r="O424">
        <v>81</v>
      </c>
      <c r="P424" t="s">
        <v>27</v>
      </c>
      <c r="Q424">
        <f>IF(Table1[[#This Row],[Compliance]]="Yes", 1, 0)</f>
        <v>0</v>
      </c>
    </row>
    <row r="425" spans="1:17" x14ac:dyDescent="0.35">
      <c r="A425" t="s">
        <v>450</v>
      </c>
      <c r="B425" t="s">
        <v>20</v>
      </c>
      <c r="C425" s="1">
        <v>45214</v>
      </c>
      <c r="D425" s="1">
        <v>45220</v>
      </c>
      <c r="E425" s="1">
        <f>SUM(Table1[[#This Row],[Delivery_Date]]-Table1[[#This Row],[Order_Date]])</f>
        <v>6</v>
      </c>
      <c r="F425" t="s">
        <v>21</v>
      </c>
      <c r="G425" t="s">
        <v>33</v>
      </c>
      <c r="H425">
        <v>1448</v>
      </c>
      <c r="I425" s="4">
        <v>25.06</v>
      </c>
      <c r="J425" s="4">
        <v>21.62</v>
      </c>
      <c r="K425" s="4">
        <f>Table1[[#This Row],[Quantity]]*Table1[[#This Row],[Negotiated_Price]]</f>
        <v>31305.760000000002</v>
      </c>
      <c r="L425" s="4">
        <f>Table1[[#This Row],[Quantity]]*Table1[[#This Row],[Unit_Price]]</f>
        <v>36286.879999999997</v>
      </c>
      <c r="M425" s="4">
        <f>Table1[[#This Row],[Unit_Price]]-Table1[[#This Row],[Negotiated_Price]]</f>
        <v>3.4399999999999977</v>
      </c>
      <c r="N425" s="3">
        <f>(Table1[[#This Row],[Unit_Price]]-Table1[[#This Row],[Negotiated_Price]])/Table1[[#This Row],[Unit_Price]]</f>
        <v>0.13727055067837182</v>
      </c>
      <c r="O425">
        <v>84</v>
      </c>
      <c r="P425" t="s">
        <v>15</v>
      </c>
      <c r="Q425">
        <f>IF(Table1[[#This Row],[Compliance]]="Yes", 1, 0)</f>
        <v>1</v>
      </c>
    </row>
    <row r="426" spans="1:17" x14ac:dyDescent="0.35">
      <c r="A426" t="s">
        <v>451</v>
      </c>
      <c r="B426" t="s">
        <v>20</v>
      </c>
      <c r="C426" s="1">
        <v>44830</v>
      </c>
      <c r="D426" s="1">
        <v>44845</v>
      </c>
      <c r="E426" s="1">
        <f>SUM(Table1[[#This Row],[Delivery_Date]]-Table1[[#This Row],[Order_Date]])</f>
        <v>15</v>
      </c>
      <c r="F426" t="s">
        <v>24</v>
      </c>
      <c r="G426" t="s">
        <v>18</v>
      </c>
      <c r="H426">
        <v>1095</v>
      </c>
      <c r="I426" s="4">
        <v>26.91</v>
      </c>
      <c r="J426" s="4">
        <v>23.75</v>
      </c>
      <c r="K426" s="4">
        <f>Table1[[#This Row],[Quantity]]*Table1[[#This Row],[Negotiated_Price]]</f>
        <v>26006.25</v>
      </c>
      <c r="L426" s="4">
        <f>Table1[[#This Row],[Quantity]]*Table1[[#This Row],[Unit_Price]]</f>
        <v>29466.45</v>
      </c>
      <c r="M426" s="4">
        <f>Table1[[#This Row],[Unit_Price]]-Table1[[#This Row],[Negotiated_Price]]</f>
        <v>3.16</v>
      </c>
      <c r="N426" s="3">
        <f>(Table1[[#This Row],[Unit_Price]]-Table1[[#This Row],[Negotiated_Price]])/Table1[[#This Row],[Unit_Price]]</f>
        <v>0.11742846525455222</v>
      </c>
      <c r="O426">
        <v>53</v>
      </c>
      <c r="P426" t="s">
        <v>15</v>
      </c>
      <c r="Q426">
        <f>IF(Table1[[#This Row],[Compliance]]="Yes", 1, 0)</f>
        <v>1</v>
      </c>
    </row>
    <row r="427" spans="1:17" hidden="1" x14ac:dyDescent="0.35">
      <c r="A427" t="s">
        <v>452</v>
      </c>
      <c r="B427" t="s">
        <v>12</v>
      </c>
      <c r="C427" s="1">
        <v>44727</v>
      </c>
      <c r="E427" s="1">
        <f>SUM(Table1[[#This Row],[Delivery_Date]]-Table1[[#This Row],[Order_Date]])</f>
        <v>-44727</v>
      </c>
      <c r="F427" t="s">
        <v>21</v>
      </c>
      <c r="G427" t="s">
        <v>18</v>
      </c>
      <c r="H427">
        <v>799</v>
      </c>
      <c r="I427">
        <v>56.22</v>
      </c>
      <c r="J427">
        <v>49.51</v>
      </c>
      <c r="K427">
        <f>Table1[[#This Row],[Quantity]]*Table1[[#This Row],[Negotiated_Price]]</f>
        <v>39558.49</v>
      </c>
      <c r="L427" s="5">
        <f>Table1[[#This Row],[Quantity]]*Table1[[#This Row],[Unit_Price]]</f>
        <v>44919.78</v>
      </c>
      <c r="M427">
        <f>Table1[[#This Row],[Unit_Price]]-Table1[[#This Row],[Negotiated_Price]]</f>
        <v>6.7100000000000009</v>
      </c>
      <c r="N427" s="2">
        <f>(Table1[[#This Row],[Unit_Price]]-Table1[[#This Row],[Negotiated_Price]])/Table1[[#This Row],[Unit_Price]]</f>
        <v>0.1193525435787976</v>
      </c>
      <c r="O427">
        <v>18</v>
      </c>
      <c r="P427" t="s">
        <v>15</v>
      </c>
      <c r="Q427">
        <f>IF(Table1[[#This Row],[Compliance]]="Yes", 1, 0)</f>
        <v>1</v>
      </c>
    </row>
    <row r="428" spans="1:17" x14ac:dyDescent="0.35">
      <c r="A428" t="s">
        <v>453</v>
      </c>
      <c r="B428" t="s">
        <v>23</v>
      </c>
      <c r="C428" s="1">
        <v>45014</v>
      </c>
      <c r="D428" s="1">
        <v>45034</v>
      </c>
      <c r="E428" s="1">
        <f>SUM(Table1[[#This Row],[Delivery_Date]]-Table1[[#This Row],[Order_Date]])</f>
        <v>20</v>
      </c>
      <c r="F428" t="s">
        <v>21</v>
      </c>
      <c r="G428" t="s">
        <v>33</v>
      </c>
      <c r="H428">
        <v>1743</v>
      </c>
      <c r="I428" s="4">
        <v>51.04</v>
      </c>
      <c r="J428" s="4">
        <v>47.15</v>
      </c>
      <c r="K428" s="4">
        <f>Table1[[#This Row],[Quantity]]*Table1[[#This Row],[Negotiated_Price]]</f>
        <v>82182.45</v>
      </c>
      <c r="L428" s="4">
        <f>Table1[[#This Row],[Quantity]]*Table1[[#This Row],[Unit_Price]]</f>
        <v>88962.72</v>
      </c>
      <c r="M428" s="4">
        <f>Table1[[#This Row],[Unit_Price]]-Table1[[#This Row],[Negotiated_Price]]</f>
        <v>3.8900000000000006</v>
      </c>
      <c r="N428" s="3">
        <f>(Table1[[#This Row],[Unit_Price]]-Table1[[#This Row],[Negotiated_Price]])/Table1[[#This Row],[Unit_Price]]</f>
        <v>7.6214733542319765E-2</v>
      </c>
      <c r="O428">
        <v>160</v>
      </c>
      <c r="P428" t="s">
        <v>15</v>
      </c>
      <c r="Q428">
        <f>IF(Table1[[#This Row],[Compliance]]="Yes", 1, 0)</f>
        <v>1</v>
      </c>
    </row>
    <row r="429" spans="1:17" x14ac:dyDescent="0.35">
      <c r="A429" t="s">
        <v>454</v>
      </c>
      <c r="B429" t="s">
        <v>12</v>
      </c>
      <c r="C429" s="1">
        <v>45126</v>
      </c>
      <c r="D429" s="1">
        <v>45138</v>
      </c>
      <c r="E429" s="1">
        <f>SUM(Table1[[#This Row],[Delivery_Date]]-Table1[[#This Row],[Order_Date]])</f>
        <v>12</v>
      </c>
      <c r="F429" t="s">
        <v>26</v>
      </c>
      <c r="G429" t="s">
        <v>18</v>
      </c>
      <c r="H429">
        <v>87</v>
      </c>
      <c r="I429" s="4">
        <v>100.65</v>
      </c>
      <c r="J429" s="4">
        <v>85.56</v>
      </c>
      <c r="K429" s="4">
        <f>Table1[[#This Row],[Quantity]]*Table1[[#This Row],[Negotiated_Price]]</f>
        <v>7443.72</v>
      </c>
      <c r="L429" s="4">
        <f>Table1[[#This Row],[Quantity]]*Table1[[#This Row],[Unit_Price]]</f>
        <v>8756.5500000000011</v>
      </c>
      <c r="M429" s="4">
        <f>Table1[[#This Row],[Unit_Price]]-Table1[[#This Row],[Negotiated_Price]]</f>
        <v>15.090000000000003</v>
      </c>
      <c r="N429" s="3">
        <f>(Table1[[#This Row],[Unit_Price]]-Table1[[#This Row],[Negotiated_Price]])/Table1[[#This Row],[Unit_Price]]</f>
        <v>0.14992548435171388</v>
      </c>
      <c r="O429">
        <v>1</v>
      </c>
      <c r="P429" t="s">
        <v>15</v>
      </c>
      <c r="Q429">
        <f>IF(Table1[[#This Row],[Compliance]]="Yes", 1, 0)</f>
        <v>1</v>
      </c>
    </row>
    <row r="430" spans="1:17" hidden="1" x14ac:dyDescent="0.35">
      <c r="A430" t="s">
        <v>455</v>
      </c>
      <c r="B430" t="s">
        <v>23</v>
      </c>
      <c r="C430" s="1">
        <v>45284</v>
      </c>
      <c r="E430" s="1">
        <f>SUM(Table1[[#This Row],[Delivery_Date]]-Table1[[#This Row],[Order_Date]])</f>
        <v>-45284</v>
      </c>
      <c r="F430" t="s">
        <v>26</v>
      </c>
      <c r="G430" t="s">
        <v>18</v>
      </c>
      <c r="H430">
        <v>279</v>
      </c>
      <c r="I430">
        <v>47.52</v>
      </c>
      <c r="J430">
        <v>46.5</v>
      </c>
      <c r="K430">
        <f>Table1[[#This Row],[Quantity]]*Table1[[#This Row],[Negotiated_Price]]</f>
        <v>12973.5</v>
      </c>
      <c r="L430" s="5">
        <f>Table1[[#This Row],[Quantity]]*Table1[[#This Row],[Unit_Price]]</f>
        <v>13258.080000000002</v>
      </c>
      <c r="M430">
        <f>Table1[[#This Row],[Unit_Price]]-Table1[[#This Row],[Negotiated_Price]]</f>
        <v>1.0200000000000031</v>
      </c>
      <c r="N430" s="2">
        <f>(Table1[[#This Row],[Unit_Price]]-Table1[[#This Row],[Negotiated_Price]])/Table1[[#This Row],[Unit_Price]]</f>
        <v>2.146464646464653E-2</v>
      </c>
      <c r="O430">
        <v>28</v>
      </c>
      <c r="P430" t="s">
        <v>27</v>
      </c>
      <c r="Q430">
        <f>IF(Table1[[#This Row],[Compliance]]="Yes", 1, 0)</f>
        <v>0</v>
      </c>
    </row>
    <row r="431" spans="1:17" x14ac:dyDescent="0.35">
      <c r="A431" t="s">
        <v>456</v>
      </c>
      <c r="B431" t="s">
        <v>17</v>
      </c>
      <c r="C431" s="1">
        <v>44999</v>
      </c>
      <c r="D431" s="1">
        <v>45010</v>
      </c>
      <c r="E431" s="1">
        <f>SUM(Table1[[#This Row],[Delivery_Date]]-Table1[[#This Row],[Order_Date]])</f>
        <v>11</v>
      </c>
      <c r="F431" t="s">
        <v>26</v>
      </c>
      <c r="G431" t="s">
        <v>18</v>
      </c>
      <c r="H431">
        <v>1438</v>
      </c>
      <c r="I431" s="4">
        <v>66.61</v>
      </c>
      <c r="J431" s="4">
        <v>58.5</v>
      </c>
      <c r="K431" s="4">
        <f>Table1[[#This Row],[Quantity]]*Table1[[#This Row],[Negotiated_Price]]</f>
        <v>84123</v>
      </c>
      <c r="L431" s="4">
        <f>Table1[[#This Row],[Quantity]]*Table1[[#This Row],[Unit_Price]]</f>
        <v>95785.18</v>
      </c>
      <c r="M431" s="4">
        <f>Table1[[#This Row],[Unit_Price]]-Table1[[#This Row],[Negotiated_Price]]</f>
        <v>8.11</v>
      </c>
      <c r="N431" s="3">
        <f>(Table1[[#This Row],[Unit_Price]]-Table1[[#This Row],[Negotiated_Price]])/Table1[[#This Row],[Unit_Price]]</f>
        <v>0.12175349046689686</v>
      </c>
      <c r="O431">
        <v>237</v>
      </c>
      <c r="P431" t="s">
        <v>15</v>
      </c>
      <c r="Q431">
        <f>IF(Table1[[#This Row],[Compliance]]="Yes", 1, 0)</f>
        <v>1</v>
      </c>
    </row>
    <row r="432" spans="1:17" x14ac:dyDescent="0.35">
      <c r="A432" t="s">
        <v>457</v>
      </c>
      <c r="B432" t="s">
        <v>17</v>
      </c>
      <c r="C432" s="1">
        <v>45136</v>
      </c>
      <c r="D432" s="1">
        <v>45138</v>
      </c>
      <c r="E432" s="1">
        <f>SUM(Table1[[#This Row],[Delivery_Date]]-Table1[[#This Row],[Order_Date]])</f>
        <v>2</v>
      </c>
      <c r="F432" t="s">
        <v>13</v>
      </c>
      <c r="G432" t="s">
        <v>33</v>
      </c>
      <c r="H432">
        <v>612</v>
      </c>
      <c r="I432" s="4">
        <v>72.930000000000007</v>
      </c>
      <c r="J432" s="4">
        <v>63.32</v>
      </c>
      <c r="K432" s="4">
        <f>Table1[[#This Row],[Quantity]]*Table1[[#This Row],[Negotiated_Price]]</f>
        <v>38751.840000000004</v>
      </c>
      <c r="L432" s="4">
        <f>Table1[[#This Row],[Quantity]]*Table1[[#This Row],[Unit_Price]]</f>
        <v>44633.16</v>
      </c>
      <c r="M432" s="4">
        <f>Table1[[#This Row],[Unit_Price]]-Table1[[#This Row],[Negotiated_Price]]</f>
        <v>9.6100000000000065</v>
      </c>
      <c r="N432" s="3">
        <f>(Table1[[#This Row],[Unit_Price]]-Table1[[#This Row],[Negotiated_Price]])/Table1[[#This Row],[Unit_Price]]</f>
        <v>0.13177019059372008</v>
      </c>
      <c r="O432">
        <v>99</v>
      </c>
      <c r="P432" t="s">
        <v>15</v>
      </c>
      <c r="Q432">
        <f>IF(Table1[[#This Row],[Compliance]]="Yes", 1, 0)</f>
        <v>1</v>
      </c>
    </row>
    <row r="433" spans="1:17" x14ac:dyDescent="0.35">
      <c r="A433" t="s">
        <v>458</v>
      </c>
      <c r="B433" t="s">
        <v>29</v>
      </c>
      <c r="C433" s="1">
        <v>44571</v>
      </c>
      <c r="D433" s="1">
        <v>44582</v>
      </c>
      <c r="E433" s="1">
        <f>SUM(Table1[[#This Row],[Delivery_Date]]-Table1[[#This Row],[Order_Date]])</f>
        <v>11</v>
      </c>
      <c r="F433" t="s">
        <v>24</v>
      </c>
      <c r="G433" t="s">
        <v>35</v>
      </c>
      <c r="H433">
        <v>487</v>
      </c>
      <c r="I433" s="4">
        <v>11.18</v>
      </c>
      <c r="J433" s="4">
        <v>10.63</v>
      </c>
      <c r="K433" s="4">
        <f>Table1[[#This Row],[Quantity]]*Table1[[#This Row],[Negotiated_Price]]</f>
        <v>5176.8100000000004</v>
      </c>
      <c r="L433" s="4">
        <f>Table1[[#This Row],[Quantity]]*Table1[[#This Row],[Unit_Price]]</f>
        <v>5444.66</v>
      </c>
      <c r="M433" s="4">
        <f>Table1[[#This Row],[Unit_Price]]-Table1[[#This Row],[Negotiated_Price]]</f>
        <v>0.54999999999999893</v>
      </c>
      <c r="N433" s="3">
        <f>(Table1[[#This Row],[Unit_Price]]-Table1[[#This Row],[Negotiated_Price]])/Table1[[#This Row],[Unit_Price]]</f>
        <v>4.9194991055456078E-2</v>
      </c>
      <c r="O433">
        <v>15</v>
      </c>
      <c r="P433" t="s">
        <v>15</v>
      </c>
      <c r="Q433">
        <f>IF(Table1[[#This Row],[Compliance]]="Yes", 1, 0)</f>
        <v>1</v>
      </c>
    </row>
    <row r="434" spans="1:17" x14ac:dyDescent="0.35">
      <c r="A434" t="s">
        <v>459</v>
      </c>
      <c r="B434" t="s">
        <v>29</v>
      </c>
      <c r="C434" s="1">
        <v>44676</v>
      </c>
      <c r="D434" s="1">
        <v>44680</v>
      </c>
      <c r="E434" s="1">
        <f>SUM(Table1[[#This Row],[Delivery_Date]]-Table1[[#This Row],[Order_Date]])</f>
        <v>4</v>
      </c>
      <c r="F434" t="s">
        <v>24</v>
      </c>
      <c r="G434" t="s">
        <v>33</v>
      </c>
      <c r="H434">
        <v>1849</v>
      </c>
      <c r="I434" s="4">
        <v>70.760000000000005</v>
      </c>
      <c r="J434" s="4">
        <v>69.25</v>
      </c>
      <c r="K434" s="4">
        <f>Table1[[#This Row],[Quantity]]*Table1[[#This Row],[Negotiated_Price]]</f>
        <v>128043.25</v>
      </c>
      <c r="L434" s="4">
        <f>Table1[[#This Row],[Quantity]]*Table1[[#This Row],[Unit_Price]]</f>
        <v>130835.24</v>
      </c>
      <c r="M434" s="4">
        <f>Table1[[#This Row],[Unit_Price]]-Table1[[#This Row],[Negotiated_Price]]</f>
        <v>1.5100000000000051</v>
      </c>
      <c r="N434" s="3">
        <f>(Table1[[#This Row],[Unit_Price]]-Table1[[#This Row],[Negotiated_Price]])/Table1[[#This Row],[Unit_Price]]</f>
        <v>2.1339739966082603E-2</v>
      </c>
      <c r="O434">
        <v>51</v>
      </c>
      <c r="P434" t="s">
        <v>15</v>
      </c>
      <c r="Q434">
        <f>IF(Table1[[#This Row],[Compliance]]="Yes", 1, 0)</f>
        <v>1</v>
      </c>
    </row>
    <row r="435" spans="1:17" x14ac:dyDescent="0.35">
      <c r="A435" t="s">
        <v>460</v>
      </c>
      <c r="B435" t="s">
        <v>29</v>
      </c>
      <c r="C435" s="1">
        <v>44639</v>
      </c>
      <c r="D435" s="1">
        <v>44652</v>
      </c>
      <c r="E435" s="1">
        <f>SUM(Table1[[#This Row],[Delivery_Date]]-Table1[[#This Row],[Order_Date]])</f>
        <v>13</v>
      </c>
      <c r="F435" t="s">
        <v>21</v>
      </c>
      <c r="G435" t="s">
        <v>33</v>
      </c>
      <c r="H435">
        <v>1356</v>
      </c>
      <c r="I435" s="4">
        <v>26.28</v>
      </c>
      <c r="J435" s="4">
        <v>25.44</v>
      </c>
      <c r="K435" s="4">
        <f>Table1[[#This Row],[Quantity]]*Table1[[#This Row],[Negotiated_Price]]</f>
        <v>34496.639999999999</v>
      </c>
      <c r="L435" s="4">
        <f>Table1[[#This Row],[Quantity]]*Table1[[#This Row],[Unit_Price]]</f>
        <v>35635.68</v>
      </c>
      <c r="M435" s="4">
        <f>Table1[[#This Row],[Unit_Price]]-Table1[[#This Row],[Negotiated_Price]]</f>
        <v>0.83999999999999986</v>
      </c>
      <c r="N435" s="3">
        <f>(Table1[[#This Row],[Unit_Price]]-Table1[[#This Row],[Negotiated_Price]])/Table1[[#This Row],[Unit_Price]]</f>
        <v>3.1963470319634694E-2</v>
      </c>
      <c r="O435">
        <v>47</v>
      </c>
      <c r="P435" t="s">
        <v>15</v>
      </c>
      <c r="Q435">
        <f>IF(Table1[[#This Row],[Compliance]]="Yes", 1, 0)</f>
        <v>1</v>
      </c>
    </row>
    <row r="436" spans="1:17" x14ac:dyDescent="0.35">
      <c r="A436" t="s">
        <v>461</v>
      </c>
      <c r="B436" t="s">
        <v>17</v>
      </c>
      <c r="C436" s="1">
        <v>45269</v>
      </c>
      <c r="D436" s="1">
        <v>45289</v>
      </c>
      <c r="E436" s="1">
        <f>SUM(Table1[[#This Row],[Delivery_Date]]-Table1[[#This Row],[Order_Date]])</f>
        <v>20</v>
      </c>
      <c r="F436" t="s">
        <v>26</v>
      </c>
      <c r="G436" t="s">
        <v>18</v>
      </c>
      <c r="H436">
        <v>76</v>
      </c>
      <c r="I436" s="4">
        <v>107.59</v>
      </c>
      <c r="J436" s="4">
        <v>96.33</v>
      </c>
      <c r="K436" s="4">
        <f>Table1[[#This Row],[Quantity]]*Table1[[#This Row],[Negotiated_Price]]</f>
        <v>7321.08</v>
      </c>
      <c r="L436" s="4">
        <f>Table1[[#This Row],[Quantity]]*Table1[[#This Row],[Unit_Price]]</f>
        <v>8176.84</v>
      </c>
      <c r="M436" s="4">
        <f>Table1[[#This Row],[Unit_Price]]-Table1[[#This Row],[Negotiated_Price]]</f>
        <v>11.260000000000005</v>
      </c>
      <c r="N436" s="3">
        <f>(Table1[[#This Row],[Unit_Price]]-Table1[[#This Row],[Negotiated_Price]])/Table1[[#This Row],[Unit_Price]]</f>
        <v>0.10465656659540853</v>
      </c>
      <c r="O436">
        <v>10</v>
      </c>
      <c r="P436" t="s">
        <v>15</v>
      </c>
      <c r="Q436">
        <f>IF(Table1[[#This Row],[Compliance]]="Yes", 1, 0)</f>
        <v>1</v>
      </c>
    </row>
    <row r="437" spans="1:17" x14ac:dyDescent="0.35">
      <c r="A437" t="s">
        <v>462</v>
      </c>
      <c r="B437" t="s">
        <v>12</v>
      </c>
      <c r="C437" s="1">
        <v>44714</v>
      </c>
      <c r="D437" s="1">
        <v>44725</v>
      </c>
      <c r="E437" s="1">
        <f>SUM(Table1[[#This Row],[Delivery_Date]]-Table1[[#This Row],[Order_Date]])</f>
        <v>11</v>
      </c>
      <c r="F437" t="s">
        <v>24</v>
      </c>
      <c r="G437" t="s">
        <v>33</v>
      </c>
      <c r="H437">
        <v>275</v>
      </c>
      <c r="I437" s="4">
        <v>23.96</v>
      </c>
      <c r="J437" s="4">
        <v>20.440000000000001</v>
      </c>
      <c r="K437" s="4">
        <f>Table1[[#This Row],[Quantity]]*Table1[[#This Row],[Negotiated_Price]]</f>
        <v>5621</v>
      </c>
      <c r="L437" s="4">
        <f>Table1[[#This Row],[Quantity]]*Table1[[#This Row],[Unit_Price]]</f>
        <v>6589</v>
      </c>
      <c r="M437" s="4">
        <f>Table1[[#This Row],[Unit_Price]]-Table1[[#This Row],[Negotiated_Price]]</f>
        <v>3.5199999999999996</v>
      </c>
      <c r="N437" s="3">
        <f>(Table1[[#This Row],[Unit_Price]]-Table1[[#This Row],[Negotiated_Price]])/Table1[[#This Row],[Unit_Price]]</f>
        <v>0.14691151919866441</v>
      </c>
      <c r="P437" t="s">
        <v>15</v>
      </c>
      <c r="Q437">
        <f>IF(Table1[[#This Row],[Compliance]]="Yes", 1, 0)</f>
        <v>1</v>
      </c>
    </row>
    <row r="438" spans="1:17" x14ac:dyDescent="0.35">
      <c r="A438" t="s">
        <v>463</v>
      </c>
      <c r="B438" t="s">
        <v>12</v>
      </c>
      <c r="C438" s="1">
        <v>45120</v>
      </c>
      <c r="D438" s="1">
        <v>45125</v>
      </c>
      <c r="E438" s="1">
        <f>SUM(Table1[[#This Row],[Delivery_Date]]-Table1[[#This Row],[Order_Date]])</f>
        <v>5</v>
      </c>
      <c r="F438" t="s">
        <v>24</v>
      </c>
      <c r="G438" t="s">
        <v>18</v>
      </c>
      <c r="H438">
        <v>1350</v>
      </c>
      <c r="I438" s="4">
        <v>51.57</v>
      </c>
      <c r="J438" s="4">
        <v>48.07</v>
      </c>
      <c r="K438" s="4">
        <f>Table1[[#This Row],[Quantity]]*Table1[[#This Row],[Negotiated_Price]]</f>
        <v>64894.5</v>
      </c>
      <c r="L438" s="4">
        <f>Table1[[#This Row],[Quantity]]*Table1[[#This Row],[Unit_Price]]</f>
        <v>69619.5</v>
      </c>
      <c r="M438" s="4">
        <f>Table1[[#This Row],[Unit_Price]]-Table1[[#This Row],[Negotiated_Price]]</f>
        <v>3.5</v>
      </c>
      <c r="N438" s="3">
        <f>(Table1[[#This Row],[Unit_Price]]-Table1[[#This Row],[Negotiated_Price]])/Table1[[#This Row],[Unit_Price]]</f>
        <v>6.7868916036455298E-2</v>
      </c>
      <c r="P438" t="s">
        <v>15</v>
      </c>
      <c r="Q438">
        <f>IF(Table1[[#This Row],[Compliance]]="Yes", 1, 0)</f>
        <v>1</v>
      </c>
    </row>
    <row r="439" spans="1:17" hidden="1" x14ac:dyDescent="0.35">
      <c r="A439" t="s">
        <v>464</v>
      </c>
      <c r="B439" t="s">
        <v>12</v>
      </c>
      <c r="C439" s="1">
        <v>44598</v>
      </c>
      <c r="E439" s="1">
        <f>SUM(Table1[[#This Row],[Delivery_Date]]-Table1[[#This Row],[Order_Date]])</f>
        <v>-44598</v>
      </c>
      <c r="F439" t="s">
        <v>21</v>
      </c>
      <c r="G439" t="s">
        <v>18</v>
      </c>
      <c r="H439">
        <v>847</v>
      </c>
      <c r="I439">
        <v>17.77</v>
      </c>
      <c r="J439">
        <v>17.39</v>
      </c>
      <c r="K439">
        <f>Table1[[#This Row],[Quantity]]*Table1[[#This Row],[Negotiated_Price]]</f>
        <v>14729.33</v>
      </c>
      <c r="L439" s="5">
        <f>Table1[[#This Row],[Quantity]]*Table1[[#This Row],[Unit_Price]]</f>
        <v>15051.19</v>
      </c>
      <c r="M439">
        <f>Table1[[#This Row],[Unit_Price]]-Table1[[#This Row],[Negotiated_Price]]</f>
        <v>0.37999999999999901</v>
      </c>
      <c r="N439" s="2">
        <f>(Table1[[#This Row],[Unit_Price]]-Table1[[#This Row],[Negotiated_Price]])/Table1[[#This Row],[Unit_Price]]</f>
        <v>2.138435565559927E-2</v>
      </c>
      <c r="P439" t="s">
        <v>15</v>
      </c>
      <c r="Q439">
        <f>IF(Table1[[#This Row],[Compliance]]="Yes", 1, 0)</f>
        <v>1</v>
      </c>
    </row>
    <row r="440" spans="1:17" x14ac:dyDescent="0.35">
      <c r="A440" t="s">
        <v>465</v>
      </c>
      <c r="B440" t="s">
        <v>20</v>
      </c>
      <c r="C440" s="1">
        <v>44940</v>
      </c>
      <c r="D440" s="1">
        <v>44953</v>
      </c>
      <c r="E440" s="1">
        <f>SUM(Table1[[#This Row],[Delivery_Date]]-Table1[[#This Row],[Order_Date]])</f>
        <v>13</v>
      </c>
      <c r="F440" t="s">
        <v>21</v>
      </c>
      <c r="G440" t="s">
        <v>18</v>
      </c>
      <c r="H440">
        <v>1682</v>
      </c>
      <c r="I440" s="4">
        <v>105.7</v>
      </c>
      <c r="J440" s="4">
        <v>101.3</v>
      </c>
      <c r="K440" s="4">
        <f>Table1[[#This Row],[Quantity]]*Table1[[#This Row],[Negotiated_Price]]</f>
        <v>170386.6</v>
      </c>
      <c r="L440" s="4">
        <f>Table1[[#This Row],[Quantity]]*Table1[[#This Row],[Unit_Price]]</f>
        <v>177787.4</v>
      </c>
      <c r="M440" s="4">
        <f>Table1[[#This Row],[Unit_Price]]-Table1[[#This Row],[Negotiated_Price]]</f>
        <v>4.4000000000000057</v>
      </c>
      <c r="N440" s="3">
        <f>(Table1[[#This Row],[Unit_Price]]-Table1[[#This Row],[Negotiated_Price]])/Table1[[#This Row],[Unit_Price]]</f>
        <v>4.1627246925260222E-2</v>
      </c>
      <c r="O440">
        <v>94</v>
      </c>
      <c r="P440" t="s">
        <v>15</v>
      </c>
      <c r="Q440">
        <f>IF(Table1[[#This Row],[Compliance]]="Yes", 1, 0)</f>
        <v>1</v>
      </c>
    </row>
    <row r="441" spans="1:17" x14ac:dyDescent="0.35">
      <c r="A441" t="s">
        <v>466</v>
      </c>
      <c r="B441" t="s">
        <v>29</v>
      </c>
      <c r="C441" s="1">
        <v>45158</v>
      </c>
      <c r="D441" s="1">
        <v>45161</v>
      </c>
      <c r="E441" s="1">
        <f>SUM(Table1[[#This Row],[Delivery_Date]]-Table1[[#This Row],[Order_Date]])</f>
        <v>3</v>
      </c>
      <c r="F441" t="s">
        <v>39</v>
      </c>
      <c r="G441" t="s">
        <v>18</v>
      </c>
      <c r="H441">
        <v>333</v>
      </c>
      <c r="I441" s="4">
        <v>60.44</v>
      </c>
      <c r="J441" s="4">
        <v>58.54</v>
      </c>
      <c r="K441" s="4">
        <f>Table1[[#This Row],[Quantity]]*Table1[[#This Row],[Negotiated_Price]]</f>
        <v>19493.82</v>
      </c>
      <c r="L441" s="4">
        <f>Table1[[#This Row],[Quantity]]*Table1[[#This Row],[Unit_Price]]</f>
        <v>20126.52</v>
      </c>
      <c r="M441" s="4">
        <f>Table1[[#This Row],[Unit_Price]]-Table1[[#This Row],[Negotiated_Price]]</f>
        <v>1.8999999999999986</v>
      </c>
      <c r="N441" s="3">
        <f>(Table1[[#This Row],[Unit_Price]]-Table1[[#This Row],[Negotiated_Price]])/Table1[[#This Row],[Unit_Price]]</f>
        <v>3.1436135009927181E-2</v>
      </c>
      <c r="O441">
        <v>8</v>
      </c>
      <c r="P441" t="s">
        <v>15</v>
      </c>
      <c r="Q441">
        <f>IF(Table1[[#This Row],[Compliance]]="Yes", 1, 0)</f>
        <v>1</v>
      </c>
    </row>
    <row r="442" spans="1:17" x14ac:dyDescent="0.35">
      <c r="A442" t="s">
        <v>467</v>
      </c>
      <c r="B442" t="s">
        <v>12</v>
      </c>
      <c r="C442" s="1">
        <v>45127</v>
      </c>
      <c r="D442" s="1">
        <v>45140</v>
      </c>
      <c r="E442" s="1">
        <f>SUM(Table1[[#This Row],[Delivery_Date]]-Table1[[#This Row],[Order_Date]])</f>
        <v>13</v>
      </c>
      <c r="F442" t="s">
        <v>39</v>
      </c>
      <c r="G442" t="s">
        <v>14</v>
      </c>
      <c r="H442">
        <v>928</v>
      </c>
      <c r="I442" s="4">
        <v>69.31</v>
      </c>
      <c r="J442" s="4">
        <v>67.260000000000005</v>
      </c>
      <c r="K442" s="4">
        <f>Table1[[#This Row],[Quantity]]*Table1[[#This Row],[Negotiated_Price]]</f>
        <v>62417.280000000006</v>
      </c>
      <c r="L442" s="4">
        <f>Table1[[#This Row],[Quantity]]*Table1[[#This Row],[Unit_Price]]</f>
        <v>64319.68</v>
      </c>
      <c r="M442" s="4">
        <f>Table1[[#This Row],[Unit_Price]]-Table1[[#This Row],[Negotiated_Price]]</f>
        <v>2.0499999999999972</v>
      </c>
      <c r="N442" s="3">
        <f>(Table1[[#This Row],[Unit_Price]]-Table1[[#This Row],[Negotiated_Price]])/Table1[[#This Row],[Unit_Price]]</f>
        <v>2.9577261578415771E-2</v>
      </c>
      <c r="O442">
        <v>20</v>
      </c>
      <c r="P442" t="s">
        <v>15</v>
      </c>
      <c r="Q442">
        <f>IF(Table1[[#This Row],[Compliance]]="Yes", 1, 0)</f>
        <v>1</v>
      </c>
    </row>
    <row r="443" spans="1:17" x14ac:dyDescent="0.35">
      <c r="A443" t="s">
        <v>468</v>
      </c>
      <c r="B443" t="s">
        <v>29</v>
      </c>
      <c r="C443" s="1">
        <v>44713</v>
      </c>
      <c r="D443" s="1">
        <v>44724</v>
      </c>
      <c r="E443" s="1">
        <f>SUM(Table1[[#This Row],[Delivery_Date]]-Table1[[#This Row],[Order_Date]])</f>
        <v>11</v>
      </c>
      <c r="F443" t="s">
        <v>21</v>
      </c>
      <c r="G443" t="s">
        <v>33</v>
      </c>
      <c r="H443">
        <v>1009</v>
      </c>
      <c r="I443" s="4">
        <v>16.440000000000001</v>
      </c>
      <c r="J443" s="4">
        <v>16.18</v>
      </c>
      <c r="K443" s="4">
        <f>Table1[[#This Row],[Quantity]]*Table1[[#This Row],[Negotiated_Price]]</f>
        <v>16325.619999999999</v>
      </c>
      <c r="L443" s="4">
        <f>Table1[[#This Row],[Quantity]]*Table1[[#This Row],[Unit_Price]]</f>
        <v>16587.960000000003</v>
      </c>
      <c r="M443" s="4">
        <f>Table1[[#This Row],[Unit_Price]]-Table1[[#This Row],[Negotiated_Price]]</f>
        <v>0.26000000000000156</v>
      </c>
      <c r="N443" s="3">
        <f>(Table1[[#This Row],[Unit_Price]]-Table1[[#This Row],[Negotiated_Price]])/Table1[[#This Row],[Unit_Price]]</f>
        <v>1.5815085158150947E-2</v>
      </c>
      <c r="P443" t="s">
        <v>15</v>
      </c>
      <c r="Q443">
        <f>IF(Table1[[#This Row],[Compliance]]="Yes", 1, 0)</f>
        <v>1</v>
      </c>
    </row>
    <row r="444" spans="1:17" x14ac:dyDescent="0.35">
      <c r="A444" t="s">
        <v>469</v>
      </c>
      <c r="B444" t="s">
        <v>29</v>
      </c>
      <c r="C444" s="1">
        <v>45002</v>
      </c>
      <c r="D444" s="1">
        <v>45019</v>
      </c>
      <c r="E444" s="1">
        <f>SUM(Table1[[#This Row],[Delivery_Date]]-Table1[[#This Row],[Order_Date]])</f>
        <v>17</v>
      </c>
      <c r="F444" t="s">
        <v>39</v>
      </c>
      <c r="G444" t="s">
        <v>35</v>
      </c>
      <c r="H444">
        <v>1554</v>
      </c>
      <c r="I444" s="4">
        <v>82.92</v>
      </c>
      <c r="J444" s="4">
        <v>74.819999999999993</v>
      </c>
      <c r="K444" s="4">
        <f>Table1[[#This Row],[Quantity]]*Table1[[#This Row],[Negotiated_Price]]</f>
        <v>116270.27999999998</v>
      </c>
      <c r="L444" s="4">
        <f>Table1[[#This Row],[Quantity]]*Table1[[#This Row],[Unit_Price]]</f>
        <v>128857.68000000001</v>
      </c>
      <c r="M444" s="4">
        <f>Table1[[#This Row],[Unit_Price]]-Table1[[#This Row],[Negotiated_Price]]</f>
        <v>8.1000000000000085</v>
      </c>
      <c r="N444" s="3">
        <f>(Table1[[#This Row],[Unit_Price]]-Table1[[#This Row],[Negotiated_Price]])/Table1[[#This Row],[Unit_Price]]</f>
        <v>9.7684515195369137E-2</v>
      </c>
      <c r="O444">
        <v>44</v>
      </c>
      <c r="P444" t="s">
        <v>15</v>
      </c>
      <c r="Q444">
        <f>IF(Table1[[#This Row],[Compliance]]="Yes", 1, 0)</f>
        <v>1</v>
      </c>
    </row>
    <row r="445" spans="1:17" x14ac:dyDescent="0.35">
      <c r="A445" t="s">
        <v>470</v>
      </c>
      <c r="B445" t="s">
        <v>20</v>
      </c>
      <c r="C445" s="1">
        <v>44692</v>
      </c>
      <c r="D445" s="1">
        <v>44706</v>
      </c>
      <c r="E445" s="1">
        <f>SUM(Table1[[#This Row],[Delivery_Date]]-Table1[[#This Row],[Order_Date]])</f>
        <v>14</v>
      </c>
      <c r="F445" t="s">
        <v>24</v>
      </c>
      <c r="G445" t="s">
        <v>33</v>
      </c>
      <c r="H445">
        <v>502</v>
      </c>
      <c r="I445" s="4">
        <v>29.47</v>
      </c>
      <c r="J445" s="4">
        <v>28.94</v>
      </c>
      <c r="K445" s="4">
        <f>Table1[[#This Row],[Quantity]]*Table1[[#This Row],[Negotiated_Price]]</f>
        <v>14527.880000000001</v>
      </c>
      <c r="L445" s="4">
        <f>Table1[[#This Row],[Quantity]]*Table1[[#This Row],[Unit_Price]]</f>
        <v>14793.939999999999</v>
      </c>
      <c r="M445" s="4">
        <f>Table1[[#This Row],[Unit_Price]]-Table1[[#This Row],[Negotiated_Price]]</f>
        <v>0.52999999999999758</v>
      </c>
      <c r="N445" s="3">
        <f>(Table1[[#This Row],[Unit_Price]]-Table1[[#This Row],[Negotiated_Price]])/Table1[[#This Row],[Unit_Price]]</f>
        <v>1.7984390906006027E-2</v>
      </c>
      <c r="O445">
        <v>27</v>
      </c>
      <c r="P445" t="s">
        <v>15</v>
      </c>
      <c r="Q445">
        <f>IF(Table1[[#This Row],[Compliance]]="Yes", 1, 0)</f>
        <v>1</v>
      </c>
    </row>
    <row r="446" spans="1:17" x14ac:dyDescent="0.35">
      <c r="A446" t="s">
        <v>471</v>
      </c>
      <c r="B446" t="s">
        <v>17</v>
      </c>
      <c r="C446" s="1">
        <v>44604</v>
      </c>
      <c r="D446" s="1">
        <v>44605</v>
      </c>
      <c r="E446" s="1">
        <f>SUM(Table1[[#This Row],[Delivery_Date]]-Table1[[#This Row],[Order_Date]])</f>
        <v>1</v>
      </c>
      <c r="F446" t="s">
        <v>21</v>
      </c>
      <c r="G446" t="s">
        <v>18</v>
      </c>
      <c r="H446">
        <v>1069</v>
      </c>
      <c r="I446" s="4">
        <v>91.28</v>
      </c>
      <c r="J446" s="4">
        <v>82.64</v>
      </c>
      <c r="K446" s="4">
        <f>Table1[[#This Row],[Quantity]]*Table1[[#This Row],[Negotiated_Price]]</f>
        <v>88342.16</v>
      </c>
      <c r="L446" s="4">
        <f>Table1[[#This Row],[Quantity]]*Table1[[#This Row],[Unit_Price]]</f>
        <v>97578.32</v>
      </c>
      <c r="M446" s="4">
        <f>Table1[[#This Row],[Unit_Price]]-Table1[[#This Row],[Negotiated_Price]]</f>
        <v>8.64</v>
      </c>
      <c r="N446" s="3">
        <f>(Table1[[#This Row],[Unit_Price]]-Table1[[#This Row],[Negotiated_Price]])/Table1[[#This Row],[Unit_Price]]</f>
        <v>9.4653812445223487E-2</v>
      </c>
      <c r="P446" t="s">
        <v>15</v>
      </c>
      <c r="Q446">
        <f>IF(Table1[[#This Row],[Compliance]]="Yes", 1, 0)</f>
        <v>1</v>
      </c>
    </row>
    <row r="447" spans="1:17" x14ac:dyDescent="0.35">
      <c r="A447" t="s">
        <v>472</v>
      </c>
      <c r="B447" t="s">
        <v>12</v>
      </c>
      <c r="C447" s="1">
        <v>44877</v>
      </c>
      <c r="D447" s="1">
        <v>44883</v>
      </c>
      <c r="E447" s="1">
        <f>SUM(Table1[[#This Row],[Delivery_Date]]-Table1[[#This Row],[Order_Date]])</f>
        <v>6</v>
      </c>
      <c r="F447" t="s">
        <v>21</v>
      </c>
      <c r="G447" t="s">
        <v>35</v>
      </c>
      <c r="H447">
        <v>1902</v>
      </c>
      <c r="I447" s="4">
        <v>29.89</v>
      </c>
      <c r="J447" s="4">
        <v>25.83</v>
      </c>
      <c r="K447" s="4">
        <f>Table1[[#This Row],[Quantity]]*Table1[[#This Row],[Negotiated_Price]]</f>
        <v>49128.659999999996</v>
      </c>
      <c r="L447" s="4">
        <f>Table1[[#This Row],[Quantity]]*Table1[[#This Row],[Unit_Price]]</f>
        <v>56850.78</v>
      </c>
      <c r="M447" s="4">
        <f>Table1[[#This Row],[Unit_Price]]-Table1[[#This Row],[Negotiated_Price]]</f>
        <v>4.0600000000000023</v>
      </c>
      <c r="N447" s="3">
        <f>(Table1[[#This Row],[Unit_Price]]-Table1[[#This Row],[Negotiated_Price]])/Table1[[#This Row],[Unit_Price]]</f>
        <v>0.13583138173302114</v>
      </c>
      <c r="O447">
        <v>41</v>
      </c>
      <c r="P447" t="s">
        <v>15</v>
      </c>
      <c r="Q447">
        <f>IF(Table1[[#This Row],[Compliance]]="Yes", 1, 0)</f>
        <v>1</v>
      </c>
    </row>
    <row r="448" spans="1:17" hidden="1" x14ac:dyDescent="0.35">
      <c r="A448" t="s">
        <v>473</v>
      </c>
      <c r="B448" t="s">
        <v>20</v>
      </c>
      <c r="C448" s="1">
        <v>44935</v>
      </c>
      <c r="E448" s="1">
        <f>SUM(Table1[[#This Row],[Delivery_Date]]-Table1[[#This Row],[Order_Date]])</f>
        <v>-44935</v>
      </c>
      <c r="F448" t="s">
        <v>26</v>
      </c>
      <c r="G448" t="s">
        <v>35</v>
      </c>
      <c r="H448">
        <v>865</v>
      </c>
      <c r="I448">
        <v>28.79</v>
      </c>
      <c r="J448">
        <v>25.69</v>
      </c>
      <c r="K448">
        <f>Table1[[#This Row],[Quantity]]*Table1[[#This Row],[Negotiated_Price]]</f>
        <v>22221.850000000002</v>
      </c>
      <c r="L448" s="5">
        <f>Table1[[#This Row],[Quantity]]*Table1[[#This Row],[Unit_Price]]</f>
        <v>24903.35</v>
      </c>
      <c r="M448">
        <f>Table1[[#This Row],[Unit_Price]]-Table1[[#This Row],[Negotiated_Price]]</f>
        <v>3.0999999999999979</v>
      </c>
      <c r="N448" s="2">
        <f>(Table1[[#This Row],[Unit_Price]]-Table1[[#This Row],[Negotiated_Price]])/Table1[[#This Row],[Unit_Price]]</f>
        <v>0.10767627648489052</v>
      </c>
      <c r="O448">
        <v>47</v>
      </c>
      <c r="P448" t="s">
        <v>15</v>
      </c>
      <c r="Q448">
        <f>IF(Table1[[#This Row],[Compliance]]="Yes", 1, 0)</f>
        <v>1</v>
      </c>
    </row>
    <row r="449" spans="1:17" x14ac:dyDescent="0.35">
      <c r="A449" t="s">
        <v>474</v>
      </c>
      <c r="B449" t="s">
        <v>17</v>
      </c>
      <c r="C449" s="1">
        <v>44602</v>
      </c>
      <c r="D449" s="1">
        <v>44618</v>
      </c>
      <c r="E449" s="1">
        <f>SUM(Table1[[#This Row],[Delivery_Date]]-Table1[[#This Row],[Order_Date]])</f>
        <v>16</v>
      </c>
      <c r="F449" t="s">
        <v>24</v>
      </c>
      <c r="G449" t="s">
        <v>33</v>
      </c>
      <c r="H449">
        <v>708</v>
      </c>
      <c r="I449" s="4">
        <v>13.36</v>
      </c>
      <c r="J449" s="4">
        <v>11.61</v>
      </c>
      <c r="K449" s="4">
        <f>Table1[[#This Row],[Quantity]]*Table1[[#This Row],[Negotiated_Price]]</f>
        <v>8219.8799999999992</v>
      </c>
      <c r="L449" s="4">
        <f>Table1[[#This Row],[Quantity]]*Table1[[#This Row],[Unit_Price]]</f>
        <v>9458.8799999999992</v>
      </c>
      <c r="M449" s="4">
        <f>Table1[[#This Row],[Unit_Price]]-Table1[[#This Row],[Negotiated_Price]]</f>
        <v>1.75</v>
      </c>
      <c r="N449" s="3">
        <f>(Table1[[#This Row],[Unit_Price]]-Table1[[#This Row],[Negotiated_Price]])/Table1[[#This Row],[Unit_Price]]</f>
        <v>0.1309880239520958</v>
      </c>
      <c r="P449" t="s">
        <v>27</v>
      </c>
      <c r="Q449">
        <f>IF(Table1[[#This Row],[Compliance]]="Yes", 1, 0)</f>
        <v>0</v>
      </c>
    </row>
    <row r="450" spans="1:17" x14ac:dyDescent="0.35">
      <c r="A450" t="s">
        <v>475</v>
      </c>
      <c r="B450" t="s">
        <v>17</v>
      </c>
      <c r="C450" s="1">
        <v>44928</v>
      </c>
      <c r="D450" s="1">
        <v>44933</v>
      </c>
      <c r="E450" s="1">
        <f>SUM(Table1[[#This Row],[Delivery_Date]]-Table1[[#This Row],[Order_Date]])</f>
        <v>5</v>
      </c>
      <c r="F450" t="s">
        <v>24</v>
      </c>
      <c r="G450" t="s">
        <v>18</v>
      </c>
      <c r="H450">
        <v>1589</v>
      </c>
      <c r="I450" s="4">
        <v>55.64</v>
      </c>
      <c r="J450" s="4">
        <v>48.52</v>
      </c>
      <c r="K450" s="4">
        <f>Table1[[#This Row],[Quantity]]*Table1[[#This Row],[Negotiated_Price]]</f>
        <v>77098.28</v>
      </c>
      <c r="L450" s="4">
        <f>Table1[[#This Row],[Quantity]]*Table1[[#This Row],[Unit_Price]]</f>
        <v>88411.96</v>
      </c>
      <c r="M450" s="4">
        <f>Table1[[#This Row],[Unit_Price]]-Table1[[#This Row],[Negotiated_Price]]</f>
        <v>7.1199999999999974</v>
      </c>
      <c r="N450" s="3">
        <f>(Table1[[#This Row],[Unit_Price]]-Table1[[#This Row],[Negotiated_Price]])/Table1[[#This Row],[Unit_Price]]</f>
        <v>0.12796549245147371</v>
      </c>
      <c r="P450" t="s">
        <v>15</v>
      </c>
      <c r="Q450">
        <f>IF(Table1[[#This Row],[Compliance]]="Yes", 1, 0)</f>
        <v>1</v>
      </c>
    </row>
    <row r="451" spans="1:17" x14ac:dyDescent="0.35">
      <c r="A451" t="s">
        <v>476</v>
      </c>
      <c r="B451" t="s">
        <v>12</v>
      </c>
      <c r="C451" s="1">
        <v>44777</v>
      </c>
      <c r="D451" s="1">
        <v>44787</v>
      </c>
      <c r="E451" s="1">
        <f>SUM(Table1[[#This Row],[Delivery_Date]]-Table1[[#This Row],[Order_Date]])</f>
        <v>10</v>
      </c>
      <c r="F451" t="s">
        <v>13</v>
      </c>
      <c r="G451" t="s">
        <v>18</v>
      </c>
      <c r="H451">
        <v>596</v>
      </c>
      <c r="I451" s="4">
        <v>62.96</v>
      </c>
      <c r="J451" s="4">
        <v>61.88</v>
      </c>
      <c r="K451" s="4">
        <f>Table1[[#This Row],[Quantity]]*Table1[[#This Row],[Negotiated_Price]]</f>
        <v>36880.480000000003</v>
      </c>
      <c r="L451" s="4">
        <f>Table1[[#This Row],[Quantity]]*Table1[[#This Row],[Unit_Price]]</f>
        <v>37524.160000000003</v>
      </c>
      <c r="M451" s="4">
        <f>Table1[[#This Row],[Unit_Price]]-Table1[[#This Row],[Negotiated_Price]]</f>
        <v>1.0799999999999983</v>
      </c>
      <c r="N451" s="3">
        <f>(Table1[[#This Row],[Unit_Price]]-Table1[[#This Row],[Negotiated_Price]])/Table1[[#This Row],[Unit_Price]]</f>
        <v>1.7153748411689936E-2</v>
      </c>
      <c r="O451">
        <v>9</v>
      </c>
      <c r="P451" t="s">
        <v>15</v>
      </c>
      <c r="Q451">
        <f>IF(Table1[[#This Row],[Compliance]]="Yes", 1, 0)</f>
        <v>1</v>
      </c>
    </row>
    <row r="452" spans="1:17" x14ac:dyDescent="0.35">
      <c r="A452" t="s">
        <v>477</v>
      </c>
      <c r="B452" t="s">
        <v>29</v>
      </c>
      <c r="C452" s="1">
        <v>45260</v>
      </c>
      <c r="D452" s="1">
        <v>45264</v>
      </c>
      <c r="E452" s="1">
        <f>SUM(Table1[[#This Row],[Delivery_Date]]-Table1[[#This Row],[Order_Date]])</f>
        <v>4</v>
      </c>
      <c r="F452" t="s">
        <v>13</v>
      </c>
      <c r="G452" t="s">
        <v>18</v>
      </c>
      <c r="H452">
        <v>1265</v>
      </c>
      <c r="I452" s="4">
        <v>17.66</v>
      </c>
      <c r="J452" s="4">
        <v>16.97</v>
      </c>
      <c r="K452" s="4">
        <f>Table1[[#This Row],[Quantity]]*Table1[[#This Row],[Negotiated_Price]]</f>
        <v>21467.05</v>
      </c>
      <c r="L452" s="4">
        <f>Table1[[#This Row],[Quantity]]*Table1[[#This Row],[Unit_Price]]</f>
        <v>22339.9</v>
      </c>
      <c r="M452" s="4">
        <f>Table1[[#This Row],[Unit_Price]]-Table1[[#This Row],[Negotiated_Price]]</f>
        <v>0.69000000000000128</v>
      </c>
      <c r="N452" s="3">
        <f>(Table1[[#This Row],[Unit_Price]]-Table1[[#This Row],[Negotiated_Price]])/Table1[[#This Row],[Unit_Price]]</f>
        <v>3.907134767836927E-2</v>
      </c>
      <c r="O452">
        <v>34</v>
      </c>
      <c r="P452" t="s">
        <v>15</v>
      </c>
      <c r="Q452">
        <f>IF(Table1[[#This Row],[Compliance]]="Yes", 1, 0)</f>
        <v>1</v>
      </c>
    </row>
    <row r="453" spans="1:17" x14ac:dyDescent="0.35">
      <c r="A453" t="s">
        <v>478</v>
      </c>
      <c r="B453" t="s">
        <v>23</v>
      </c>
      <c r="C453" s="1">
        <v>44817</v>
      </c>
      <c r="D453" s="1">
        <v>44835</v>
      </c>
      <c r="E453" s="1">
        <f>SUM(Table1[[#This Row],[Delivery_Date]]-Table1[[#This Row],[Order_Date]])</f>
        <v>18</v>
      </c>
      <c r="F453" t="s">
        <v>26</v>
      </c>
      <c r="G453" t="s">
        <v>18</v>
      </c>
      <c r="H453">
        <v>1122</v>
      </c>
      <c r="I453" s="4">
        <v>82.99</v>
      </c>
      <c r="J453" s="4">
        <v>81.7</v>
      </c>
      <c r="K453" s="4">
        <f>Table1[[#This Row],[Quantity]]*Table1[[#This Row],[Negotiated_Price]]</f>
        <v>91667.400000000009</v>
      </c>
      <c r="L453" s="4">
        <f>Table1[[#This Row],[Quantity]]*Table1[[#This Row],[Unit_Price]]</f>
        <v>93114.78</v>
      </c>
      <c r="M453" s="4">
        <f>Table1[[#This Row],[Unit_Price]]-Table1[[#This Row],[Negotiated_Price]]</f>
        <v>1.289999999999992</v>
      </c>
      <c r="N453" s="3">
        <f>(Table1[[#This Row],[Unit_Price]]-Table1[[#This Row],[Negotiated_Price]])/Table1[[#This Row],[Unit_Price]]</f>
        <v>1.5544041450777106E-2</v>
      </c>
      <c r="O453">
        <v>118</v>
      </c>
      <c r="P453" t="s">
        <v>27</v>
      </c>
      <c r="Q453">
        <f>IF(Table1[[#This Row],[Compliance]]="Yes", 1, 0)</f>
        <v>0</v>
      </c>
    </row>
    <row r="454" spans="1:17" x14ac:dyDescent="0.35">
      <c r="A454" t="s">
        <v>479</v>
      </c>
      <c r="B454" t="s">
        <v>29</v>
      </c>
      <c r="C454" s="1">
        <v>45244</v>
      </c>
      <c r="D454" s="1">
        <v>45261</v>
      </c>
      <c r="E454" s="1">
        <f>SUM(Table1[[#This Row],[Delivery_Date]]-Table1[[#This Row],[Order_Date]])</f>
        <v>17</v>
      </c>
      <c r="F454" t="s">
        <v>13</v>
      </c>
      <c r="G454" t="s">
        <v>18</v>
      </c>
      <c r="H454">
        <v>1585</v>
      </c>
      <c r="I454" s="4">
        <v>56.38</v>
      </c>
      <c r="J454" s="4">
        <v>53.05</v>
      </c>
      <c r="K454" s="4">
        <f>Table1[[#This Row],[Quantity]]*Table1[[#This Row],[Negotiated_Price]]</f>
        <v>84084.25</v>
      </c>
      <c r="L454" s="4">
        <f>Table1[[#This Row],[Quantity]]*Table1[[#This Row],[Unit_Price]]</f>
        <v>89362.3</v>
      </c>
      <c r="M454" s="4">
        <f>Table1[[#This Row],[Unit_Price]]-Table1[[#This Row],[Negotiated_Price]]</f>
        <v>3.3300000000000054</v>
      </c>
      <c r="N454" s="3">
        <f>(Table1[[#This Row],[Unit_Price]]-Table1[[#This Row],[Negotiated_Price]])/Table1[[#This Row],[Unit_Price]]</f>
        <v>5.9063497694217898E-2</v>
      </c>
      <c r="P454" t="s">
        <v>15</v>
      </c>
      <c r="Q454">
        <f>IF(Table1[[#This Row],[Compliance]]="Yes", 1, 0)</f>
        <v>1</v>
      </c>
    </row>
    <row r="455" spans="1:17" x14ac:dyDescent="0.35">
      <c r="A455" t="s">
        <v>480</v>
      </c>
      <c r="B455" t="s">
        <v>29</v>
      </c>
      <c r="C455" s="1">
        <v>44667</v>
      </c>
      <c r="D455" s="1">
        <v>44678</v>
      </c>
      <c r="E455" s="1">
        <f>SUM(Table1[[#This Row],[Delivery_Date]]-Table1[[#This Row],[Order_Date]])</f>
        <v>11</v>
      </c>
      <c r="F455" t="s">
        <v>39</v>
      </c>
      <c r="G455" t="s">
        <v>18</v>
      </c>
      <c r="H455">
        <v>66</v>
      </c>
      <c r="I455" s="4">
        <v>58.05</v>
      </c>
      <c r="J455" s="4">
        <v>50.76</v>
      </c>
      <c r="K455" s="4">
        <f>Table1[[#This Row],[Quantity]]*Table1[[#This Row],[Negotiated_Price]]</f>
        <v>3350.16</v>
      </c>
      <c r="L455" s="4">
        <f>Table1[[#This Row],[Quantity]]*Table1[[#This Row],[Unit_Price]]</f>
        <v>3831.2999999999997</v>
      </c>
      <c r="M455" s="4">
        <f>Table1[[#This Row],[Unit_Price]]-Table1[[#This Row],[Negotiated_Price]]</f>
        <v>7.2899999999999991</v>
      </c>
      <c r="N455" s="3">
        <f>(Table1[[#This Row],[Unit_Price]]-Table1[[#This Row],[Negotiated_Price]])/Table1[[#This Row],[Unit_Price]]</f>
        <v>0.12558139534883719</v>
      </c>
      <c r="P455" t="s">
        <v>15</v>
      </c>
      <c r="Q455">
        <f>IF(Table1[[#This Row],[Compliance]]="Yes", 1, 0)</f>
        <v>1</v>
      </c>
    </row>
    <row r="456" spans="1:17" x14ac:dyDescent="0.35">
      <c r="A456" t="s">
        <v>481</v>
      </c>
      <c r="B456" t="s">
        <v>23</v>
      </c>
      <c r="C456" s="1">
        <v>44924</v>
      </c>
      <c r="D456" s="1">
        <v>44944</v>
      </c>
      <c r="E456" s="1">
        <f>SUM(Table1[[#This Row],[Delivery_Date]]-Table1[[#This Row],[Order_Date]])</f>
        <v>20</v>
      </c>
      <c r="F456" t="s">
        <v>21</v>
      </c>
      <c r="G456" t="s">
        <v>18</v>
      </c>
      <c r="H456">
        <v>1245</v>
      </c>
      <c r="I456" s="4">
        <v>52.4</v>
      </c>
      <c r="J456" s="4">
        <v>51.65</v>
      </c>
      <c r="K456" s="4">
        <f>Table1[[#This Row],[Quantity]]*Table1[[#This Row],[Negotiated_Price]]</f>
        <v>64304.25</v>
      </c>
      <c r="L456" s="4">
        <f>Table1[[#This Row],[Quantity]]*Table1[[#This Row],[Unit_Price]]</f>
        <v>65238</v>
      </c>
      <c r="M456" s="4">
        <f>Table1[[#This Row],[Unit_Price]]-Table1[[#This Row],[Negotiated_Price]]</f>
        <v>0.75</v>
      </c>
      <c r="N456" s="3">
        <f>(Table1[[#This Row],[Unit_Price]]-Table1[[#This Row],[Negotiated_Price]])/Table1[[#This Row],[Unit_Price]]</f>
        <v>1.4312977099236641E-2</v>
      </c>
      <c r="O456">
        <v>118</v>
      </c>
      <c r="P456" t="s">
        <v>27</v>
      </c>
      <c r="Q456">
        <f>IF(Table1[[#This Row],[Compliance]]="Yes", 1, 0)</f>
        <v>0</v>
      </c>
    </row>
    <row r="457" spans="1:17" x14ac:dyDescent="0.35">
      <c r="A457" t="s">
        <v>482</v>
      </c>
      <c r="B457" t="s">
        <v>17</v>
      </c>
      <c r="C457" s="1">
        <v>45135</v>
      </c>
      <c r="D457" s="1">
        <v>45148</v>
      </c>
      <c r="E457" s="1">
        <f>SUM(Table1[[#This Row],[Delivery_Date]]-Table1[[#This Row],[Order_Date]])</f>
        <v>13</v>
      </c>
      <c r="F457" t="s">
        <v>39</v>
      </c>
      <c r="G457" t="s">
        <v>18</v>
      </c>
      <c r="H457">
        <v>1293</v>
      </c>
      <c r="I457" s="4">
        <v>50.21</v>
      </c>
      <c r="J457" s="4">
        <v>47.55</v>
      </c>
      <c r="K457" s="4">
        <f>Table1[[#This Row],[Quantity]]*Table1[[#This Row],[Negotiated_Price]]</f>
        <v>61482.149999999994</v>
      </c>
      <c r="L457" s="4">
        <f>Table1[[#This Row],[Quantity]]*Table1[[#This Row],[Unit_Price]]</f>
        <v>64921.53</v>
      </c>
      <c r="M457" s="4">
        <f>Table1[[#This Row],[Unit_Price]]-Table1[[#This Row],[Negotiated_Price]]</f>
        <v>2.6600000000000037</v>
      </c>
      <c r="N457" s="3">
        <f>(Table1[[#This Row],[Unit_Price]]-Table1[[#This Row],[Negotiated_Price]])/Table1[[#This Row],[Unit_Price]]</f>
        <v>5.297749452300346E-2</v>
      </c>
      <c r="P457" t="s">
        <v>27</v>
      </c>
      <c r="Q457">
        <f>IF(Table1[[#This Row],[Compliance]]="Yes", 1, 0)</f>
        <v>0</v>
      </c>
    </row>
    <row r="458" spans="1:17" x14ac:dyDescent="0.35">
      <c r="A458" t="s">
        <v>483</v>
      </c>
      <c r="B458" t="s">
        <v>23</v>
      </c>
      <c r="C458" s="1">
        <v>44978</v>
      </c>
      <c r="D458" s="1">
        <v>44984</v>
      </c>
      <c r="E458" s="1">
        <f>SUM(Table1[[#This Row],[Delivery_Date]]-Table1[[#This Row],[Order_Date]])</f>
        <v>6</v>
      </c>
      <c r="F458" t="s">
        <v>24</v>
      </c>
      <c r="G458" t="s">
        <v>18</v>
      </c>
      <c r="H458">
        <v>207</v>
      </c>
      <c r="I458" s="4">
        <v>64.290000000000006</v>
      </c>
      <c r="J458" s="4">
        <v>63.01</v>
      </c>
      <c r="K458" s="4">
        <f>Table1[[#This Row],[Quantity]]*Table1[[#This Row],[Negotiated_Price]]</f>
        <v>13043.07</v>
      </c>
      <c r="L458" s="4">
        <f>Table1[[#This Row],[Quantity]]*Table1[[#This Row],[Unit_Price]]</f>
        <v>13308.03</v>
      </c>
      <c r="M458" s="4">
        <f>Table1[[#This Row],[Unit_Price]]-Table1[[#This Row],[Negotiated_Price]]</f>
        <v>1.2800000000000082</v>
      </c>
      <c r="N458" s="3">
        <f>(Table1[[#This Row],[Unit_Price]]-Table1[[#This Row],[Negotiated_Price]])/Table1[[#This Row],[Unit_Price]]</f>
        <v>1.9909783792191757E-2</v>
      </c>
      <c r="O458">
        <v>25</v>
      </c>
      <c r="P458" t="s">
        <v>15</v>
      </c>
      <c r="Q458">
        <f>IF(Table1[[#This Row],[Compliance]]="Yes", 1, 0)</f>
        <v>1</v>
      </c>
    </row>
    <row r="459" spans="1:17" x14ac:dyDescent="0.35">
      <c r="A459" t="s">
        <v>484</v>
      </c>
      <c r="B459" t="s">
        <v>23</v>
      </c>
      <c r="C459" s="1">
        <v>45197</v>
      </c>
      <c r="D459" s="1">
        <v>45217</v>
      </c>
      <c r="E459" s="1">
        <f>SUM(Table1[[#This Row],[Delivery_Date]]-Table1[[#This Row],[Order_Date]])</f>
        <v>20</v>
      </c>
      <c r="F459" t="s">
        <v>13</v>
      </c>
      <c r="G459" t="s">
        <v>18</v>
      </c>
      <c r="H459">
        <v>526</v>
      </c>
      <c r="I459" s="4">
        <v>26.37</v>
      </c>
      <c r="J459" s="4">
        <v>25.32</v>
      </c>
      <c r="K459" s="4">
        <f>Table1[[#This Row],[Quantity]]*Table1[[#This Row],[Negotiated_Price]]</f>
        <v>13318.32</v>
      </c>
      <c r="L459" s="4">
        <f>Table1[[#This Row],[Quantity]]*Table1[[#This Row],[Unit_Price]]</f>
        <v>13870.62</v>
      </c>
      <c r="M459" s="4">
        <f>Table1[[#This Row],[Unit_Price]]-Table1[[#This Row],[Negotiated_Price]]</f>
        <v>1.0500000000000007</v>
      </c>
      <c r="N459" s="3">
        <f>(Table1[[#This Row],[Unit_Price]]-Table1[[#This Row],[Negotiated_Price]])/Table1[[#This Row],[Unit_Price]]</f>
        <v>3.9817974971558617E-2</v>
      </c>
      <c r="O459">
        <v>47</v>
      </c>
      <c r="P459" t="s">
        <v>15</v>
      </c>
      <c r="Q459">
        <f>IF(Table1[[#This Row],[Compliance]]="Yes", 1, 0)</f>
        <v>1</v>
      </c>
    </row>
    <row r="460" spans="1:17" x14ac:dyDescent="0.35">
      <c r="A460" t="s">
        <v>485</v>
      </c>
      <c r="B460" t="s">
        <v>20</v>
      </c>
      <c r="C460" s="1">
        <v>44720</v>
      </c>
      <c r="D460" s="1">
        <v>44726</v>
      </c>
      <c r="E460" s="1">
        <f>SUM(Table1[[#This Row],[Delivery_Date]]-Table1[[#This Row],[Order_Date]])</f>
        <v>6</v>
      </c>
      <c r="F460" t="s">
        <v>39</v>
      </c>
      <c r="G460" t="s">
        <v>18</v>
      </c>
      <c r="H460">
        <v>1119</v>
      </c>
      <c r="I460" s="4">
        <v>27.03</v>
      </c>
      <c r="J460" s="4">
        <v>23.82</v>
      </c>
      <c r="K460" s="4">
        <f>Table1[[#This Row],[Quantity]]*Table1[[#This Row],[Negotiated_Price]]</f>
        <v>26654.58</v>
      </c>
      <c r="L460" s="4">
        <f>Table1[[#This Row],[Quantity]]*Table1[[#This Row],[Unit_Price]]</f>
        <v>30246.57</v>
      </c>
      <c r="M460" s="4">
        <f>Table1[[#This Row],[Unit_Price]]-Table1[[#This Row],[Negotiated_Price]]</f>
        <v>3.2100000000000009</v>
      </c>
      <c r="N460" s="3">
        <f>(Table1[[#This Row],[Unit_Price]]-Table1[[#This Row],[Negotiated_Price]])/Table1[[#This Row],[Unit_Price]]</f>
        <v>0.11875693673695896</v>
      </c>
      <c r="P460" t="s">
        <v>15</v>
      </c>
      <c r="Q460">
        <f>IF(Table1[[#This Row],[Compliance]]="Yes", 1, 0)</f>
        <v>1</v>
      </c>
    </row>
    <row r="461" spans="1:17" x14ac:dyDescent="0.35">
      <c r="A461" t="s">
        <v>486</v>
      </c>
      <c r="B461" t="s">
        <v>20</v>
      </c>
      <c r="C461" s="1">
        <v>44804</v>
      </c>
      <c r="D461" s="1">
        <v>44806</v>
      </c>
      <c r="E461" s="1">
        <f>SUM(Table1[[#This Row],[Delivery_Date]]-Table1[[#This Row],[Order_Date]])</f>
        <v>2</v>
      </c>
      <c r="F461" t="s">
        <v>24</v>
      </c>
      <c r="G461" t="s">
        <v>18</v>
      </c>
      <c r="H461">
        <v>1446</v>
      </c>
      <c r="I461" s="4">
        <v>90.63</v>
      </c>
      <c r="J461" s="4">
        <v>84.51</v>
      </c>
      <c r="K461" s="4">
        <f>Table1[[#This Row],[Quantity]]*Table1[[#This Row],[Negotiated_Price]]</f>
        <v>122201.46</v>
      </c>
      <c r="L461" s="4">
        <f>Table1[[#This Row],[Quantity]]*Table1[[#This Row],[Unit_Price]]</f>
        <v>131050.98</v>
      </c>
      <c r="M461" s="4">
        <f>Table1[[#This Row],[Unit_Price]]-Table1[[#This Row],[Negotiated_Price]]</f>
        <v>6.1199999999999903</v>
      </c>
      <c r="N461" s="3">
        <f>(Table1[[#This Row],[Unit_Price]]-Table1[[#This Row],[Negotiated_Price]])/Table1[[#This Row],[Unit_Price]]</f>
        <v>6.752730883813296E-2</v>
      </c>
      <c r="O461">
        <v>77</v>
      </c>
      <c r="P461" t="s">
        <v>15</v>
      </c>
      <c r="Q461">
        <f>IF(Table1[[#This Row],[Compliance]]="Yes", 1, 0)</f>
        <v>1</v>
      </c>
    </row>
    <row r="462" spans="1:17" x14ac:dyDescent="0.35">
      <c r="A462" t="s">
        <v>487</v>
      </c>
      <c r="B462" t="s">
        <v>20</v>
      </c>
      <c r="C462" s="1">
        <v>44728</v>
      </c>
      <c r="D462" s="1">
        <v>44736</v>
      </c>
      <c r="E462" s="1">
        <f>SUM(Table1[[#This Row],[Delivery_Date]]-Table1[[#This Row],[Order_Date]])</f>
        <v>8</v>
      </c>
      <c r="F462" t="s">
        <v>13</v>
      </c>
      <c r="G462" t="s">
        <v>18</v>
      </c>
      <c r="H462">
        <v>567</v>
      </c>
      <c r="I462" s="4">
        <v>97.53</v>
      </c>
      <c r="J462" s="4">
        <v>85.29</v>
      </c>
      <c r="K462" s="4">
        <f>Table1[[#This Row],[Quantity]]*Table1[[#This Row],[Negotiated_Price]]</f>
        <v>48359.43</v>
      </c>
      <c r="L462" s="4">
        <f>Table1[[#This Row],[Quantity]]*Table1[[#This Row],[Unit_Price]]</f>
        <v>55299.51</v>
      </c>
      <c r="M462" s="4">
        <f>Table1[[#This Row],[Unit_Price]]-Table1[[#This Row],[Negotiated_Price]]</f>
        <v>12.239999999999995</v>
      </c>
      <c r="N462" s="3">
        <f>(Table1[[#This Row],[Unit_Price]]-Table1[[#This Row],[Negotiated_Price]])/Table1[[#This Row],[Unit_Price]]</f>
        <v>0.12549984620116883</v>
      </c>
      <c r="O462">
        <v>21</v>
      </c>
      <c r="P462" t="s">
        <v>15</v>
      </c>
      <c r="Q462">
        <f>IF(Table1[[#This Row],[Compliance]]="Yes", 1, 0)</f>
        <v>1</v>
      </c>
    </row>
    <row r="463" spans="1:17" hidden="1" x14ac:dyDescent="0.35">
      <c r="A463" t="s">
        <v>488</v>
      </c>
      <c r="B463" t="s">
        <v>17</v>
      </c>
      <c r="C463" s="1">
        <v>44743</v>
      </c>
      <c r="E463" s="1">
        <f>SUM(Table1[[#This Row],[Delivery_Date]]-Table1[[#This Row],[Order_Date]])</f>
        <v>-44743</v>
      </c>
      <c r="F463" t="s">
        <v>21</v>
      </c>
      <c r="G463" t="s">
        <v>18</v>
      </c>
      <c r="H463">
        <v>148</v>
      </c>
      <c r="I463">
        <v>44.91</v>
      </c>
      <c r="J463">
        <v>40.1</v>
      </c>
      <c r="K463">
        <f>Table1[[#This Row],[Quantity]]*Table1[[#This Row],[Negotiated_Price]]</f>
        <v>5934.8</v>
      </c>
      <c r="L463" s="5">
        <f>Table1[[#This Row],[Quantity]]*Table1[[#This Row],[Unit_Price]]</f>
        <v>6646.6799999999994</v>
      </c>
      <c r="M463">
        <f>Table1[[#This Row],[Unit_Price]]-Table1[[#This Row],[Negotiated_Price]]</f>
        <v>4.8099999999999952</v>
      </c>
      <c r="N463" s="2">
        <f>(Table1[[#This Row],[Unit_Price]]-Table1[[#This Row],[Negotiated_Price]])/Table1[[#This Row],[Unit_Price]]</f>
        <v>0.10710309507904689</v>
      </c>
      <c r="P463" t="s">
        <v>27</v>
      </c>
      <c r="Q463">
        <f>IF(Table1[[#This Row],[Compliance]]="Yes", 1, 0)</f>
        <v>0</v>
      </c>
    </row>
    <row r="464" spans="1:17" x14ac:dyDescent="0.35">
      <c r="A464" t="s">
        <v>489</v>
      </c>
      <c r="B464" t="s">
        <v>23</v>
      </c>
      <c r="C464" s="1">
        <v>44984</v>
      </c>
      <c r="D464" s="1">
        <v>44999</v>
      </c>
      <c r="E464" s="1">
        <f>SUM(Table1[[#This Row],[Delivery_Date]]-Table1[[#This Row],[Order_Date]])</f>
        <v>15</v>
      </c>
      <c r="F464" t="s">
        <v>21</v>
      </c>
      <c r="G464" t="s">
        <v>35</v>
      </c>
      <c r="H464">
        <v>1965</v>
      </c>
      <c r="I464" s="4">
        <v>36.6</v>
      </c>
      <c r="J464" s="4">
        <v>34.64</v>
      </c>
      <c r="K464" s="4">
        <f>Table1[[#This Row],[Quantity]]*Table1[[#This Row],[Negotiated_Price]]</f>
        <v>68067.600000000006</v>
      </c>
      <c r="L464" s="4">
        <f>Table1[[#This Row],[Quantity]]*Table1[[#This Row],[Unit_Price]]</f>
        <v>71919</v>
      </c>
      <c r="M464" s="4">
        <f>Table1[[#This Row],[Unit_Price]]-Table1[[#This Row],[Negotiated_Price]]</f>
        <v>1.9600000000000009</v>
      </c>
      <c r="N464" s="3">
        <f>(Table1[[#This Row],[Unit_Price]]-Table1[[#This Row],[Negotiated_Price]])/Table1[[#This Row],[Unit_Price]]</f>
        <v>5.3551912568306034E-2</v>
      </c>
      <c r="O464">
        <v>195</v>
      </c>
      <c r="P464" t="s">
        <v>15</v>
      </c>
      <c r="Q464">
        <f>IF(Table1[[#This Row],[Compliance]]="Yes", 1, 0)</f>
        <v>1</v>
      </c>
    </row>
    <row r="465" spans="1:17" x14ac:dyDescent="0.35">
      <c r="A465" t="s">
        <v>490</v>
      </c>
      <c r="B465" t="s">
        <v>12</v>
      </c>
      <c r="C465" s="1">
        <v>44587</v>
      </c>
      <c r="D465" s="1">
        <v>44595</v>
      </c>
      <c r="E465" s="1">
        <f>SUM(Table1[[#This Row],[Delivery_Date]]-Table1[[#This Row],[Order_Date]])</f>
        <v>8</v>
      </c>
      <c r="F465" t="s">
        <v>13</v>
      </c>
      <c r="G465" t="s">
        <v>35</v>
      </c>
      <c r="H465">
        <v>1818</v>
      </c>
      <c r="I465" s="4">
        <v>67.959999999999994</v>
      </c>
      <c r="J465" s="4">
        <v>58.98</v>
      </c>
      <c r="K465" s="4">
        <f>Table1[[#This Row],[Quantity]]*Table1[[#This Row],[Negotiated_Price]]</f>
        <v>107225.64</v>
      </c>
      <c r="L465" s="4">
        <f>Table1[[#This Row],[Quantity]]*Table1[[#This Row],[Unit_Price]]</f>
        <v>123551.27999999998</v>
      </c>
      <c r="M465" s="4">
        <f>Table1[[#This Row],[Unit_Price]]-Table1[[#This Row],[Negotiated_Price]]</f>
        <v>8.9799999999999969</v>
      </c>
      <c r="N465" s="3">
        <f>(Table1[[#This Row],[Unit_Price]]-Table1[[#This Row],[Negotiated_Price]])/Table1[[#This Row],[Unit_Price]]</f>
        <v>0.13213655091230131</v>
      </c>
      <c r="P465" t="s">
        <v>15</v>
      </c>
      <c r="Q465">
        <f>IF(Table1[[#This Row],[Compliance]]="Yes", 1, 0)</f>
        <v>1</v>
      </c>
    </row>
    <row r="466" spans="1:17" x14ac:dyDescent="0.35">
      <c r="A466" t="s">
        <v>491</v>
      </c>
      <c r="B466" t="s">
        <v>23</v>
      </c>
      <c r="C466" s="1">
        <v>44745</v>
      </c>
      <c r="D466" s="1">
        <v>44761</v>
      </c>
      <c r="E466" s="1">
        <f>SUM(Table1[[#This Row],[Delivery_Date]]-Table1[[#This Row],[Order_Date]])</f>
        <v>16</v>
      </c>
      <c r="F466" t="s">
        <v>21</v>
      </c>
      <c r="G466" t="s">
        <v>18</v>
      </c>
      <c r="H466">
        <v>1110</v>
      </c>
      <c r="I466" s="4">
        <v>48.19</v>
      </c>
      <c r="J466" s="4">
        <v>45.88</v>
      </c>
      <c r="K466" s="4">
        <f>Table1[[#This Row],[Quantity]]*Table1[[#This Row],[Negotiated_Price]]</f>
        <v>50926.8</v>
      </c>
      <c r="L466" s="4">
        <f>Table1[[#This Row],[Quantity]]*Table1[[#This Row],[Unit_Price]]</f>
        <v>53490.899999999994</v>
      </c>
      <c r="M466" s="4">
        <f>Table1[[#This Row],[Unit_Price]]-Table1[[#This Row],[Negotiated_Price]]</f>
        <v>2.3099999999999952</v>
      </c>
      <c r="N466" s="3">
        <f>(Table1[[#This Row],[Unit_Price]]-Table1[[#This Row],[Negotiated_Price]])/Table1[[#This Row],[Unit_Price]]</f>
        <v>4.7935256277235841E-2</v>
      </c>
      <c r="O466">
        <v>112</v>
      </c>
      <c r="P466" t="s">
        <v>15</v>
      </c>
      <c r="Q466">
        <f>IF(Table1[[#This Row],[Compliance]]="Yes", 1, 0)</f>
        <v>1</v>
      </c>
    </row>
    <row r="467" spans="1:17" hidden="1" x14ac:dyDescent="0.35">
      <c r="A467" t="s">
        <v>492</v>
      </c>
      <c r="B467" t="s">
        <v>17</v>
      </c>
      <c r="C467" s="1">
        <v>44902</v>
      </c>
      <c r="E467" s="1">
        <f>SUM(Table1[[#This Row],[Delivery_Date]]-Table1[[#This Row],[Order_Date]])</f>
        <v>-44902</v>
      </c>
      <c r="F467" t="s">
        <v>26</v>
      </c>
      <c r="G467" t="s">
        <v>18</v>
      </c>
      <c r="H467">
        <v>329</v>
      </c>
      <c r="I467">
        <v>12.96</v>
      </c>
      <c r="J467">
        <v>12.74</v>
      </c>
      <c r="K467">
        <f>Table1[[#This Row],[Quantity]]*Table1[[#This Row],[Negotiated_Price]]</f>
        <v>4191.46</v>
      </c>
      <c r="L467" s="5">
        <f>Table1[[#This Row],[Quantity]]*Table1[[#This Row],[Unit_Price]]</f>
        <v>4263.84</v>
      </c>
      <c r="M467">
        <f>Table1[[#This Row],[Unit_Price]]-Table1[[#This Row],[Negotiated_Price]]</f>
        <v>0.22000000000000064</v>
      </c>
      <c r="N467" s="2">
        <f>(Table1[[#This Row],[Unit_Price]]-Table1[[#This Row],[Negotiated_Price]])/Table1[[#This Row],[Unit_Price]]</f>
        <v>1.6975308641975356E-2</v>
      </c>
      <c r="O467">
        <v>48</v>
      </c>
      <c r="P467" t="s">
        <v>15</v>
      </c>
      <c r="Q467">
        <f>IF(Table1[[#This Row],[Compliance]]="Yes", 1, 0)</f>
        <v>1</v>
      </c>
    </row>
    <row r="468" spans="1:17" x14ac:dyDescent="0.35">
      <c r="A468" t="s">
        <v>493</v>
      </c>
      <c r="B468" t="s">
        <v>20</v>
      </c>
      <c r="C468" s="1">
        <v>44983</v>
      </c>
      <c r="D468" s="1">
        <v>45002</v>
      </c>
      <c r="E468" s="1">
        <f>SUM(Table1[[#This Row],[Delivery_Date]]-Table1[[#This Row],[Order_Date]])</f>
        <v>19</v>
      </c>
      <c r="F468" t="s">
        <v>13</v>
      </c>
      <c r="G468" t="s">
        <v>14</v>
      </c>
      <c r="H468">
        <v>1422</v>
      </c>
      <c r="I468" s="4">
        <v>25.62</v>
      </c>
      <c r="J468" s="4">
        <v>25.18</v>
      </c>
      <c r="K468" s="4">
        <f>Table1[[#This Row],[Quantity]]*Table1[[#This Row],[Negotiated_Price]]</f>
        <v>35805.96</v>
      </c>
      <c r="L468" s="4">
        <f>Table1[[#This Row],[Quantity]]*Table1[[#This Row],[Unit_Price]]</f>
        <v>36431.64</v>
      </c>
      <c r="M468" s="4">
        <f>Table1[[#This Row],[Unit_Price]]-Table1[[#This Row],[Negotiated_Price]]</f>
        <v>0.44000000000000128</v>
      </c>
      <c r="N468" s="3">
        <f>(Table1[[#This Row],[Unit_Price]]-Table1[[#This Row],[Negotiated_Price]])/Table1[[#This Row],[Unit_Price]]</f>
        <v>1.717408274785329E-2</v>
      </c>
      <c r="O468">
        <v>65</v>
      </c>
      <c r="P468" t="s">
        <v>15</v>
      </c>
      <c r="Q468">
        <f>IF(Table1[[#This Row],[Compliance]]="Yes", 1, 0)</f>
        <v>1</v>
      </c>
    </row>
    <row r="469" spans="1:17" hidden="1" x14ac:dyDescent="0.35">
      <c r="A469" t="s">
        <v>494</v>
      </c>
      <c r="B469" t="s">
        <v>17</v>
      </c>
      <c r="C469" s="1">
        <v>45247</v>
      </c>
      <c r="E469" s="1">
        <f>SUM(Table1[[#This Row],[Delivery_Date]]-Table1[[#This Row],[Order_Date]])</f>
        <v>-45247</v>
      </c>
      <c r="F469" t="s">
        <v>26</v>
      </c>
      <c r="G469" t="s">
        <v>18</v>
      </c>
      <c r="H469">
        <v>546</v>
      </c>
      <c r="I469">
        <v>82.63</v>
      </c>
      <c r="J469">
        <v>74.77</v>
      </c>
      <c r="K469">
        <f>Table1[[#This Row],[Quantity]]*Table1[[#This Row],[Negotiated_Price]]</f>
        <v>40824.42</v>
      </c>
      <c r="L469" s="5">
        <f>Table1[[#This Row],[Quantity]]*Table1[[#This Row],[Unit_Price]]</f>
        <v>45115.979999999996</v>
      </c>
      <c r="M469">
        <f>Table1[[#This Row],[Unit_Price]]-Table1[[#This Row],[Negotiated_Price]]</f>
        <v>7.8599999999999994</v>
      </c>
      <c r="N469" s="2">
        <f>(Table1[[#This Row],[Unit_Price]]-Table1[[#This Row],[Negotiated_Price]])/Table1[[#This Row],[Unit_Price]]</f>
        <v>9.5122836742103353E-2</v>
      </c>
      <c r="O469">
        <v>76</v>
      </c>
      <c r="P469" t="s">
        <v>27</v>
      </c>
      <c r="Q469">
        <f>IF(Table1[[#This Row],[Compliance]]="Yes", 1, 0)</f>
        <v>0</v>
      </c>
    </row>
    <row r="470" spans="1:17" x14ac:dyDescent="0.35">
      <c r="A470" t="s">
        <v>495</v>
      </c>
      <c r="B470" t="s">
        <v>20</v>
      </c>
      <c r="C470" s="1">
        <v>44816</v>
      </c>
      <c r="D470" s="1">
        <v>44826</v>
      </c>
      <c r="E470" s="1">
        <f>SUM(Table1[[#This Row],[Delivery_Date]]-Table1[[#This Row],[Order_Date]])</f>
        <v>10</v>
      </c>
      <c r="F470" t="s">
        <v>13</v>
      </c>
      <c r="G470" t="s">
        <v>33</v>
      </c>
      <c r="H470">
        <v>351</v>
      </c>
      <c r="I470" s="4">
        <v>72.08</v>
      </c>
      <c r="J470" s="4">
        <v>71.3</v>
      </c>
      <c r="K470" s="4">
        <f>Table1[[#This Row],[Quantity]]*Table1[[#This Row],[Negotiated_Price]]</f>
        <v>25026.3</v>
      </c>
      <c r="L470" s="4">
        <f>Table1[[#This Row],[Quantity]]*Table1[[#This Row],[Unit_Price]]</f>
        <v>25300.079999999998</v>
      </c>
      <c r="M470" s="4">
        <f>Table1[[#This Row],[Unit_Price]]-Table1[[#This Row],[Negotiated_Price]]</f>
        <v>0.78000000000000114</v>
      </c>
      <c r="N470" s="3">
        <f>(Table1[[#This Row],[Unit_Price]]-Table1[[#This Row],[Negotiated_Price]])/Table1[[#This Row],[Unit_Price]]</f>
        <v>1.0821309655937862E-2</v>
      </c>
      <c r="O470">
        <v>20</v>
      </c>
      <c r="P470" t="s">
        <v>15</v>
      </c>
      <c r="Q470">
        <f>IF(Table1[[#This Row],[Compliance]]="Yes", 1, 0)</f>
        <v>1</v>
      </c>
    </row>
    <row r="471" spans="1:17" x14ac:dyDescent="0.35">
      <c r="A471" t="s">
        <v>496</v>
      </c>
      <c r="B471" t="s">
        <v>17</v>
      </c>
      <c r="C471" s="1">
        <v>44835</v>
      </c>
      <c r="D471" s="1">
        <v>44852</v>
      </c>
      <c r="E471" s="1">
        <f>SUM(Table1[[#This Row],[Delivery_Date]]-Table1[[#This Row],[Order_Date]])</f>
        <v>17</v>
      </c>
      <c r="F471" t="s">
        <v>26</v>
      </c>
      <c r="G471" t="s">
        <v>33</v>
      </c>
      <c r="H471">
        <v>230</v>
      </c>
      <c r="I471" s="4">
        <v>13</v>
      </c>
      <c r="J471" s="4">
        <v>12.81</v>
      </c>
      <c r="K471" s="4">
        <f>Table1[[#This Row],[Quantity]]*Table1[[#This Row],[Negotiated_Price]]</f>
        <v>2946.3</v>
      </c>
      <c r="L471" s="4">
        <f>Table1[[#This Row],[Quantity]]*Table1[[#This Row],[Unit_Price]]</f>
        <v>2990</v>
      </c>
      <c r="M471" s="4">
        <f>Table1[[#This Row],[Unit_Price]]-Table1[[#This Row],[Negotiated_Price]]</f>
        <v>0.1899999999999995</v>
      </c>
      <c r="N471" s="3">
        <f>(Table1[[#This Row],[Unit_Price]]-Table1[[#This Row],[Negotiated_Price]])/Table1[[#This Row],[Unit_Price]]</f>
        <v>1.4615384615384577E-2</v>
      </c>
      <c r="P471" t="s">
        <v>27</v>
      </c>
      <c r="Q471">
        <f>IF(Table1[[#This Row],[Compliance]]="Yes", 1, 0)</f>
        <v>0</v>
      </c>
    </row>
    <row r="472" spans="1:17" x14ac:dyDescent="0.35">
      <c r="A472" t="s">
        <v>497</v>
      </c>
      <c r="B472" t="s">
        <v>12</v>
      </c>
      <c r="C472" s="1">
        <v>44725</v>
      </c>
      <c r="D472" s="1">
        <v>44731</v>
      </c>
      <c r="E472" s="1">
        <f>SUM(Table1[[#This Row],[Delivery_Date]]-Table1[[#This Row],[Order_Date]])</f>
        <v>6</v>
      </c>
      <c r="F472" t="s">
        <v>21</v>
      </c>
      <c r="G472" t="s">
        <v>18</v>
      </c>
      <c r="H472">
        <v>656</v>
      </c>
      <c r="I472" s="4">
        <v>30.73</v>
      </c>
      <c r="J472" s="4">
        <v>26.26</v>
      </c>
      <c r="K472" s="4">
        <f>Table1[[#This Row],[Quantity]]*Table1[[#This Row],[Negotiated_Price]]</f>
        <v>17226.560000000001</v>
      </c>
      <c r="L472" s="4">
        <f>Table1[[#This Row],[Quantity]]*Table1[[#This Row],[Unit_Price]]</f>
        <v>20158.88</v>
      </c>
      <c r="M472" s="4">
        <f>Table1[[#This Row],[Unit_Price]]-Table1[[#This Row],[Negotiated_Price]]</f>
        <v>4.4699999999999989</v>
      </c>
      <c r="N472" s="3">
        <f>(Table1[[#This Row],[Unit_Price]]-Table1[[#This Row],[Negotiated_Price]])/Table1[[#This Row],[Unit_Price]]</f>
        <v>0.14546046208916363</v>
      </c>
      <c r="O472">
        <v>17</v>
      </c>
      <c r="P472" t="s">
        <v>15</v>
      </c>
      <c r="Q472">
        <f>IF(Table1[[#This Row],[Compliance]]="Yes", 1, 0)</f>
        <v>1</v>
      </c>
    </row>
    <row r="473" spans="1:17" x14ac:dyDescent="0.35">
      <c r="A473" t="s">
        <v>498</v>
      </c>
      <c r="B473" t="s">
        <v>20</v>
      </c>
      <c r="C473" s="1">
        <v>45280</v>
      </c>
      <c r="D473" s="1">
        <v>45300</v>
      </c>
      <c r="E473" s="1">
        <f>SUM(Table1[[#This Row],[Delivery_Date]]-Table1[[#This Row],[Order_Date]])</f>
        <v>20</v>
      </c>
      <c r="F473" t="s">
        <v>21</v>
      </c>
      <c r="G473" t="s">
        <v>18</v>
      </c>
      <c r="H473">
        <v>1172</v>
      </c>
      <c r="I473" s="4">
        <v>34.340000000000003</v>
      </c>
      <c r="J473" s="4">
        <v>32.090000000000003</v>
      </c>
      <c r="K473" s="4">
        <f>Table1[[#This Row],[Quantity]]*Table1[[#This Row],[Negotiated_Price]]</f>
        <v>37609.480000000003</v>
      </c>
      <c r="L473" s="4">
        <f>Table1[[#This Row],[Quantity]]*Table1[[#This Row],[Unit_Price]]</f>
        <v>40246.480000000003</v>
      </c>
      <c r="M473" s="4">
        <f>Table1[[#This Row],[Unit_Price]]-Table1[[#This Row],[Negotiated_Price]]</f>
        <v>2.25</v>
      </c>
      <c r="N473" s="3">
        <f>(Table1[[#This Row],[Unit_Price]]-Table1[[#This Row],[Negotiated_Price]])/Table1[[#This Row],[Unit_Price]]</f>
        <v>6.5521258008153754E-2</v>
      </c>
      <c r="O473">
        <v>69</v>
      </c>
      <c r="P473" t="s">
        <v>15</v>
      </c>
      <c r="Q473">
        <f>IF(Table1[[#This Row],[Compliance]]="Yes", 1, 0)</f>
        <v>1</v>
      </c>
    </row>
    <row r="474" spans="1:17" x14ac:dyDescent="0.35">
      <c r="A474" t="s">
        <v>499</v>
      </c>
      <c r="B474" t="s">
        <v>20</v>
      </c>
      <c r="C474" s="1">
        <v>44672</v>
      </c>
      <c r="D474" s="1">
        <v>44681</v>
      </c>
      <c r="E474" s="1">
        <f>SUM(Table1[[#This Row],[Delivery_Date]]-Table1[[#This Row],[Order_Date]])</f>
        <v>9</v>
      </c>
      <c r="F474" t="s">
        <v>39</v>
      </c>
      <c r="G474" t="s">
        <v>18</v>
      </c>
      <c r="H474">
        <v>749</v>
      </c>
      <c r="I474" s="4">
        <v>71.53</v>
      </c>
      <c r="J474" s="4">
        <v>70.02</v>
      </c>
      <c r="K474" s="4">
        <f>Table1[[#This Row],[Quantity]]*Table1[[#This Row],[Negotiated_Price]]</f>
        <v>52444.979999999996</v>
      </c>
      <c r="L474" s="4">
        <f>Table1[[#This Row],[Quantity]]*Table1[[#This Row],[Unit_Price]]</f>
        <v>53575.97</v>
      </c>
      <c r="M474" s="4">
        <f>Table1[[#This Row],[Unit_Price]]-Table1[[#This Row],[Negotiated_Price]]</f>
        <v>1.5100000000000051</v>
      </c>
      <c r="N474" s="3">
        <f>(Table1[[#This Row],[Unit_Price]]-Table1[[#This Row],[Negotiated_Price]])/Table1[[#This Row],[Unit_Price]]</f>
        <v>2.1110023766251994E-2</v>
      </c>
      <c r="O474">
        <v>41</v>
      </c>
      <c r="P474" t="s">
        <v>15</v>
      </c>
      <c r="Q474">
        <f>IF(Table1[[#This Row],[Compliance]]="Yes", 1, 0)</f>
        <v>1</v>
      </c>
    </row>
    <row r="475" spans="1:17" x14ac:dyDescent="0.35">
      <c r="A475" t="s">
        <v>500</v>
      </c>
      <c r="B475" t="s">
        <v>23</v>
      </c>
      <c r="C475" s="1">
        <v>44953</v>
      </c>
      <c r="D475" s="1">
        <v>44969</v>
      </c>
      <c r="E475" s="1">
        <f>SUM(Table1[[#This Row],[Delivery_Date]]-Table1[[#This Row],[Order_Date]])</f>
        <v>16</v>
      </c>
      <c r="F475" t="s">
        <v>24</v>
      </c>
      <c r="G475" t="s">
        <v>18</v>
      </c>
      <c r="H475">
        <v>1042</v>
      </c>
      <c r="I475" s="4">
        <v>12.48</v>
      </c>
      <c r="J475" s="4">
        <v>12.3</v>
      </c>
      <c r="K475" s="4">
        <f>Table1[[#This Row],[Quantity]]*Table1[[#This Row],[Negotiated_Price]]</f>
        <v>12816.6</v>
      </c>
      <c r="L475" s="4">
        <f>Table1[[#This Row],[Quantity]]*Table1[[#This Row],[Unit_Price]]</f>
        <v>13004.16</v>
      </c>
      <c r="M475" s="4">
        <f>Table1[[#This Row],[Unit_Price]]-Table1[[#This Row],[Negotiated_Price]]</f>
        <v>0.17999999999999972</v>
      </c>
      <c r="N475" s="3">
        <f>(Table1[[#This Row],[Unit_Price]]-Table1[[#This Row],[Negotiated_Price]])/Table1[[#This Row],[Unit_Price]]</f>
        <v>1.44230769230769E-2</v>
      </c>
      <c r="O475">
        <v>88</v>
      </c>
      <c r="P475" t="s">
        <v>15</v>
      </c>
      <c r="Q475">
        <f>IF(Table1[[#This Row],[Compliance]]="Yes", 1, 0)</f>
        <v>1</v>
      </c>
    </row>
    <row r="476" spans="1:17" x14ac:dyDescent="0.35">
      <c r="A476" t="s">
        <v>501</v>
      </c>
      <c r="B476" t="s">
        <v>17</v>
      </c>
      <c r="C476" s="1">
        <v>44601</v>
      </c>
      <c r="D476" s="1">
        <v>44619</v>
      </c>
      <c r="E476" s="1">
        <f>SUM(Table1[[#This Row],[Delivery_Date]]-Table1[[#This Row],[Order_Date]])</f>
        <v>18</v>
      </c>
      <c r="F476" t="s">
        <v>26</v>
      </c>
      <c r="G476" t="s">
        <v>18</v>
      </c>
      <c r="H476">
        <v>1189</v>
      </c>
      <c r="I476" s="4">
        <v>19.47</v>
      </c>
      <c r="J476" s="4">
        <v>17.149999999999999</v>
      </c>
      <c r="K476" s="4">
        <f>Table1[[#This Row],[Quantity]]*Table1[[#This Row],[Negotiated_Price]]</f>
        <v>20391.349999999999</v>
      </c>
      <c r="L476" s="4">
        <f>Table1[[#This Row],[Quantity]]*Table1[[#This Row],[Unit_Price]]</f>
        <v>23149.829999999998</v>
      </c>
      <c r="M476" s="4">
        <f>Table1[[#This Row],[Unit_Price]]-Table1[[#This Row],[Negotiated_Price]]</f>
        <v>2.3200000000000003</v>
      </c>
      <c r="N476" s="3">
        <f>(Table1[[#This Row],[Unit_Price]]-Table1[[#This Row],[Negotiated_Price]])/Table1[[#This Row],[Unit_Price]]</f>
        <v>0.1191576784797124</v>
      </c>
      <c r="P476" t="s">
        <v>27</v>
      </c>
      <c r="Q476">
        <f>IF(Table1[[#This Row],[Compliance]]="Yes", 1, 0)</f>
        <v>0</v>
      </c>
    </row>
    <row r="477" spans="1:17" hidden="1" x14ac:dyDescent="0.35">
      <c r="A477" t="s">
        <v>502</v>
      </c>
      <c r="B477" t="s">
        <v>29</v>
      </c>
      <c r="C477" s="1">
        <v>45043</v>
      </c>
      <c r="E477" s="1">
        <f>SUM(Table1[[#This Row],[Delivery_Date]]-Table1[[#This Row],[Order_Date]])</f>
        <v>-45043</v>
      </c>
      <c r="F477" t="s">
        <v>13</v>
      </c>
      <c r="G477" t="s">
        <v>18</v>
      </c>
      <c r="H477">
        <v>240</v>
      </c>
      <c r="I477">
        <v>88.14</v>
      </c>
      <c r="J477">
        <v>81.900000000000006</v>
      </c>
      <c r="K477">
        <f>Table1[[#This Row],[Quantity]]*Table1[[#This Row],[Negotiated_Price]]</f>
        <v>19656</v>
      </c>
      <c r="L477" s="5">
        <f>Table1[[#This Row],[Quantity]]*Table1[[#This Row],[Unit_Price]]</f>
        <v>21153.599999999999</v>
      </c>
      <c r="M477">
        <f>Table1[[#This Row],[Unit_Price]]-Table1[[#This Row],[Negotiated_Price]]</f>
        <v>6.2399999999999949</v>
      </c>
      <c r="N477" s="2">
        <f>(Table1[[#This Row],[Unit_Price]]-Table1[[#This Row],[Negotiated_Price]])/Table1[[#This Row],[Unit_Price]]</f>
        <v>7.0796460176991094E-2</v>
      </c>
      <c r="O477">
        <v>4</v>
      </c>
      <c r="P477" t="s">
        <v>15</v>
      </c>
      <c r="Q477">
        <f>IF(Table1[[#This Row],[Compliance]]="Yes", 1, 0)</f>
        <v>1</v>
      </c>
    </row>
    <row r="478" spans="1:17" x14ac:dyDescent="0.35">
      <c r="A478" t="s">
        <v>503</v>
      </c>
      <c r="B478" t="s">
        <v>29</v>
      </c>
      <c r="C478" s="1">
        <v>44789</v>
      </c>
      <c r="D478" s="1">
        <v>44806</v>
      </c>
      <c r="E478" s="1">
        <f>SUM(Table1[[#This Row],[Delivery_Date]]-Table1[[#This Row],[Order_Date]])</f>
        <v>17</v>
      </c>
      <c r="F478" t="s">
        <v>21</v>
      </c>
      <c r="G478" t="s">
        <v>18</v>
      </c>
      <c r="H478">
        <v>302</v>
      </c>
      <c r="I478" s="4">
        <v>26.98</v>
      </c>
      <c r="J478" s="4">
        <v>26.47</v>
      </c>
      <c r="K478" s="4">
        <f>Table1[[#This Row],[Quantity]]*Table1[[#This Row],[Negotiated_Price]]</f>
        <v>7993.94</v>
      </c>
      <c r="L478" s="4">
        <f>Table1[[#This Row],[Quantity]]*Table1[[#This Row],[Unit_Price]]</f>
        <v>8147.96</v>
      </c>
      <c r="M478" s="4">
        <f>Table1[[#This Row],[Unit_Price]]-Table1[[#This Row],[Negotiated_Price]]</f>
        <v>0.51000000000000156</v>
      </c>
      <c r="N478" s="3">
        <f>(Table1[[#This Row],[Unit_Price]]-Table1[[#This Row],[Negotiated_Price]])/Table1[[#This Row],[Unit_Price]]</f>
        <v>1.890289103039294E-2</v>
      </c>
      <c r="O478">
        <v>9</v>
      </c>
      <c r="P478" t="s">
        <v>15</v>
      </c>
      <c r="Q478">
        <f>IF(Table1[[#This Row],[Compliance]]="Yes", 1, 0)</f>
        <v>1</v>
      </c>
    </row>
    <row r="479" spans="1:17" x14ac:dyDescent="0.35">
      <c r="A479" t="s">
        <v>504</v>
      </c>
      <c r="B479" t="s">
        <v>23</v>
      </c>
      <c r="C479" s="1">
        <v>44766</v>
      </c>
      <c r="D479" s="1">
        <v>44776</v>
      </c>
      <c r="E479" s="1">
        <f>SUM(Table1[[#This Row],[Delivery_Date]]-Table1[[#This Row],[Order_Date]])</f>
        <v>10</v>
      </c>
      <c r="F479" t="s">
        <v>21</v>
      </c>
      <c r="G479" t="s">
        <v>35</v>
      </c>
      <c r="H479">
        <v>1030</v>
      </c>
      <c r="I479" s="4">
        <v>70.81</v>
      </c>
      <c r="J479" s="4">
        <v>61.58</v>
      </c>
      <c r="K479" s="4">
        <f>Table1[[#This Row],[Quantity]]*Table1[[#This Row],[Negotiated_Price]]</f>
        <v>63427.4</v>
      </c>
      <c r="L479" s="4">
        <f>Table1[[#This Row],[Quantity]]*Table1[[#This Row],[Unit_Price]]</f>
        <v>72934.3</v>
      </c>
      <c r="M479" s="4">
        <f>Table1[[#This Row],[Unit_Price]]-Table1[[#This Row],[Negotiated_Price]]</f>
        <v>9.230000000000004</v>
      </c>
      <c r="N479" s="3">
        <f>(Table1[[#This Row],[Unit_Price]]-Table1[[#This Row],[Negotiated_Price]])/Table1[[#This Row],[Unit_Price]]</f>
        <v>0.13034882078802434</v>
      </c>
      <c r="P479" t="s">
        <v>27</v>
      </c>
      <c r="Q479">
        <f>IF(Table1[[#This Row],[Compliance]]="Yes", 1, 0)</f>
        <v>0</v>
      </c>
    </row>
    <row r="480" spans="1:17" x14ac:dyDescent="0.35">
      <c r="A480" t="s">
        <v>505</v>
      </c>
      <c r="B480" t="s">
        <v>17</v>
      </c>
      <c r="C480" s="1">
        <v>45033</v>
      </c>
      <c r="D480" s="1">
        <v>45039</v>
      </c>
      <c r="E480" s="1">
        <f>SUM(Table1[[#This Row],[Delivery_Date]]-Table1[[#This Row],[Order_Date]])</f>
        <v>6</v>
      </c>
      <c r="F480" t="s">
        <v>13</v>
      </c>
      <c r="G480" t="s">
        <v>18</v>
      </c>
      <c r="H480">
        <v>977</v>
      </c>
      <c r="I480" s="4">
        <v>33.79</v>
      </c>
      <c r="J480" s="4">
        <v>32.25</v>
      </c>
      <c r="K480" s="4">
        <f>Table1[[#This Row],[Quantity]]*Table1[[#This Row],[Negotiated_Price]]</f>
        <v>31508.25</v>
      </c>
      <c r="L480" s="4">
        <f>Table1[[#This Row],[Quantity]]*Table1[[#This Row],[Unit_Price]]</f>
        <v>33012.83</v>
      </c>
      <c r="M480" s="4">
        <f>Table1[[#This Row],[Unit_Price]]-Table1[[#This Row],[Negotiated_Price]]</f>
        <v>1.5399999999999991</v>
      </c>
      <c r="N480" s="3">
        <f>(Table1[[#This Row],[Unit_Price]]-Table1[[#This Row],[Negotiated_Price]])/Table1[[#This Row],[Unit_Price]]</f>
        <v>4.5575614087007964E-2</v>
      </c>
      <c r="O480">
        <v>137</v>
      </c>
      <c r="P480" t="s">
        <v>15</v>
      </c>
      <c r="Q480">
        <f>IF(Table1[[#This Row],[Compliance]]="Yes", 1, 0)</f>
        <v>1</v>
      </c>
    </row>
    <row r="481" spans="1:17" x14ac:dyDescent="0.35">
      <c r="A481" t="s">
        <v>506</v>
      </c>
      <c r="B481" t="s">
        <v>12</v>
      </c>
      <c r="C481" s="1">
        <v>44920</v>
      </c>
      <c r="D481" s="1">
        <v>44937</v>
      </c>
      <c r="E481" s="1">
        <f>SUM(Table1[[#This Row],[Delivery_Date]]-Table1[[#This Row],[Order_Date]])</f>
        <v>17</v>
      </c>
      <c r="F481" t="s">
        <v>24</v>
      </c>
      <c r="G481" t="s">
        <v>18</v>
      </c>
      <c r="H481">
        <v>1234</v>
      </c>
      <c r="I481" s="4">
        <v>19.989999999999998</v>
      </c>
      <c r="J481" s="4">
        <v>17.66</v>
      </c>
      <c r="K481" s="4">
        <f>Table1[[#This Row],[Quantity]]*Table1[[#This Row],[Negotiated_Price]]</f>
        <v>21792.44</v>
      </c>
      <c r="L481" s="4">
        <f>Table1[[#This Row],[Quantity]]*Table1[[#This Row],[Unit_Price]]</f>
        <v>24667.66</v>
      </c>
      <c r="M481" s="4">
        <f>Table1[[#This Row],[Unit_Price]]-Table1[[#This Row],[Negotiated_Price]]</f>
        <v>2.3299999999999983</v>
      </c>
      <c r="N481" s="3">
        <f>(Table1[[#This Row],[Unit_Price]]-Table1[[#This Row],[Negotiated_Price]])/Table1[[#This Row],[Unit_Price]]</f>
        <v>0.1165582791395697</v>
      </c>
      <c r="O481">
        <v>25</v>
      </c>
      <c r="P481" t="s">
        <v>15</v>
      </c>
      <c r="Q481">
        <f>IF(Table1[[#This Row],[Compliance]]="Yes", 1, 0)</f>
        <v>1</v>
      </c>
    </row>
    <row r="482" spans="1:17" x14ac:dyDescent="0.35">
      <c r="A482" t="s">
        <v>507</v>
      </c>
      <c r="B482" t="s">
        <v>23</v>
      </c>
      <c r="C482" s="1">
        <v>44874</v>
      </c>
      <c r="D482" s="1">
        <v>44888</v>
      </c>
      <c r="E482" s="1">
        <f>SUM(Table1[[#This Row],[Delivery_Date]]-Table1[[#This Row],[Order_Date]])</f>
        <v>14</v>
      </c>
      <c r="F482" t="s">
        <v>13</v>
      </c>
      <c r="G482" t="s">
        <v>18</v>
      </c>
      <c r="H482">
        <v>1329</v>
      </c>
      <c r="I482" s="4">
        <v>33.479999999999997</v>
      </c>
      <c r="J482" s="4">
        <v>33.06</v>
      </c>
      <c r="K482" s="4">
        <f>Table1[[#This Row],[Quantity]]*Table1[[#This Row],[Negotiated_Price]]</f>
        <v>43936.740000000005</v>
      </c>
      <c r="L482" s="4">
        <f>Table1[[#This Row],[Quantity]]*Table1[[#This Row],[Unit_Price]]</f>
        <v>44494.92</v>
      </c>
      <c r="M482" s="4">
        <f>Table1[[#This Row],[Unit_Price]]-Table1[[#This Row],[Negotiated_Price]]</f>
        <v>0.4199999999999946</v>
      </c>
      <c r="N482" s="3">
        <f>(Table1[[#This Row],[Unit_Price]]-Table1[[#This Row],[Negotiated_Price]])/Table1[[#This Row],[Unit_Price]]</f>
        <v>1.2544802867383352E-2</v>
      </c>
      <c r="O482">
        <v>146</v>
      </c>
      <c r="P482" t="s">
        <v>15</v>
      </c>
      <c r="Q482">
        <f>IF(Table1[[#This Row],[Compliance]]="Yes", 1, 0)</f>
        <v>1</v>
      </c>
    </row>
    <row r="483" spans="1:17" x14ac:dyDescent="0.35">
      <c r="A483" t="s">
        <v>508</v>
      </c>
      <c r="B483" t="s">
        <v>20</v>
      </c>
      <c r="C483" s="1">
        <v>44795</v>
      </c>
      <c r="D483" s="1">
        <v>44803</v>
      </c>
      <c r="E483" s="1">
        <f>SUM(Table1[[#This Row],[Delivery_Date]]-Table1[[#This Row],[Order_Date]])</f>
        <v>8</v>
      </c>
      <c r="F483" t="s">
        <v>26</v>
      </c>
      <c r="G483" t="s">
        <v>18</v>
      </c>
      <c r="H483">
        <v>1396</v>
      </c>
      <c r="I483" s="4">
        <v>77.63</v>
      </c>
      <c r="J483" s="4">
        <v>67.81</v>
      </c>
      <c r="K483" s="4">
        <f>Table1[[#This Row],[Quantity]]*Table1[[#This Row],[Negotiated_Price]]</f>
        <v>94662.760000000009</v>
      </c>
      <c r="L483" s="4">
        <f>Table1[[#This Row],[Quantity]]*Table1[[#This Row],[Unit_Price]]</f>
        <v>108371.48</v>
      </c>
      <c r="M483" s="4">
        <f>Table1[[#This Row],[Unit_Price]]-Table1[[#This Row],[Negotiated_Price]]</f>
        <v>9.8199999999999932</v>
      </c>
      <c r="N483" s="3">
        <f>(Table1[[#This Row],[Unit_Price]]-Table1[[#This Row],[Negotiated_Price]])/Table1[[#This Row],[Unit_Price]]</f>
        <v>0.12649748808450334</v>
      </c>
      <c r="O483">
        <v>58</v>
      </c>
      <c r="P483" t="s">
        <v>15</v>
      </c>
      <c r="Q483">
        <f>IF(Table1[[#This Row],[Compliance]]="Yes", 1, 0)</f>
        <v>1</v>
      </c>
    </row>
    <row r="484" spans="1:17" x14ac:dyDescent="0.35">
      <c r="A484" t="s">
        <v>509</v>
      </c>
      <c r="B484" t="s">
        <v>12</v>
      </c>
      <c r="C484" s="1">
        <v>44790</v>
      </c>
      <c r="D484" s="1">
        <v>44802</v>
      </c>
      <c r="E484" s="1">
        <f>SUM(Table1[[#This Row],[Delivery_Date]]-Table1[[#This Row],[Order_Date]])</f>
        <v>12</v>
      </c>
      <c r="F484" t="s">
        <v>26</v>
      </c>
      <c r="G484" t="s">
        <v>18</v>
      </c>
      <c r="H484">
        <v>177</v>
      </c>
      <c r="I484" s="4">
        <v>90.06</v>
      </c>
      <c r="J484" s="4">
        <v>87.71</v>
      </c>
      <c r="K484" s="4">
        <f>Table1[[#This Row],[Quantity]]*Table1[[#This Row],[Negotiated_Price]]</f>
        <v>15524.669999999998</v>
      </c>
      <c r="L484" s="4">
        <f>Table1[[#This Row],[Quantity]]*Table1[[#This Row],[Unit_Price]]</f>
        <v>15940.62</v>
      </c>
      <c r="M484" s="4">
        <f>Table1[[#This Row],[Unit_Price]]-Table1[[#This Row],[Negotiated_Price]]</f>
        <v>2.3500000000000085</v>
      </c>
      <c r="N484" s="3">
        <f>(Table1[[#This Row],[Unit_Price]]-Table1[[#This Row],[Negotiated_Price]])/Table1[[#This Row],[Unit_Price]]</f>
        <v>2.6093715300910598E-2</v>
      </c>
      <c r="O484">
        <v>7</v>
      </c>
      <c r="P484" t="s">
        <v>15</v>
      </c>
      <c r="Q484">
        <f>IF(Table1[[#This Row],[Compliance]]="Yes", 1, 0)</f>
        <v>1</v>
      </c>
    </row>
    <row r="485" spans="1:17" hidden="1" x14ac:dyDescent="0.35">
      <c r="A485" t="s">
        <v>510</v>
      </c>
      <c r="B485" t="s">
        <v>17</v>
      </c>
      <c r="C485" s="1">
        <v>44586</v>
      </c>
      <c r="E485" s="1">
        <f>SUM(Table1[[#This Row],[Delivery_Date]]-Table1[[#This Row],[Order_Date]])</f>
        <v>-44586</v>
      </c>
      <c r="F485" t="s">
        <v>39</v>
      </c>
      <c r="G485" t="s">
        <v>18</v>
      </c>
      <c r="H485">
        <v>67</v>
      </c>
      <c r="I485">
        <v>84.72</v>
      </c>
      <c r="J485">
        <v>73.06</v>
      </c>
      <c r="K485">
        <f>Table1[[#This Row],[Quantity]]*Table1[[#This Row],[Negotiated_Price]]</f>
        <v>4895.0200000000004</v>
      </c>
      <c r="L485" s="5">
        <f>Table1[[#This Row],[Quantity]]*Table1[[#This Row],[Unit_Price]]</f>
        <v>5676.24</v>
      </c>
      <c r="M485">
        <f>Table1[[#This Row],[Unit_Price]]-Table1[[#This Row],[Negotiated_Price]]</f>
        <v>11.659999999999997</v>
      </c>
      <c r="N485" s="2">
        <f>(Table1[[#This Row],[Unit_Price]]-Table1[[#This Row],[Negotiated_Price]])/Table1[[#This Row],[Unit_Price]]</f>
        <v>0.13762983947119919</v>
      </c>
      <c r="O485">
        <v>9</v>
      </c>
      <c r="P485" t="s">
        <v>15</v>
      </c>
      <c r="Q485">
        <f>IF(Table1[[#This Row],[Compliance]]="Yes", 1, 0)</f>
        <v>1</v>
      </c>
    </row>
    <row r="486" spans="1:17" x14ac:dyDescent="0.35">
      <c r="A486" t="s">
        <v>511</v>
      </c>
      <c r="B486" t="s">
        <v>20</v>
      </c>
      <c r="C486" s="1">
        <v>45237</v>
      </c>
      <c r="D486" s="1">
        <v>45250</v>
      </c>
      <c r="E486" s="1">
        <f>SUM(Table1[[#This Row],[Delivery_Date]]-Table1[[#This Row],[Order_Date]])</f>
        <v>13</v>
      </c>
      <c r="F486" t="s">
        <v>13</v>
      </c>
      <c r="G486" t="s">
        <v>18</v>
      </c>
      <c r="H486">
        <v>1866</v>
      </c>
      <c r="I486" s="4">
        <v>50.78</v>
      </c>
      <c r="J486" s="4">
        <v>48.2</v>
      </c>
      <c r="K486" s="4">
        <f>Table1[[#This Row],[Quantity]]*Table1[[#This Row],[Negotiated_Price]]</f>
        <v>89941.200000000012</v>
      </c>
      <c r="L486" s="4">
        <f>Table1[[#This Row],[Quantity]]*Table1[[#This Row],[Unit_Price]]</f>
        <v>94755.48</v>
      </c>
      <c r="M486" s="4">
        <f>Table1[[#This Row],[Unit_Price]]-Table1[[#This Row],[Negotiated_Price]]</f>
        <v>2.5799999999999983</v>
      </c>
      <c r="N486" s="3">
        <f>(Table1[[#This Row],[Unit_Price]]-Table1[[#This Row],[Negotiated_Price]])/Table1[[#This Row],[Unit_Price]]</f>
        <v>5.0807404489956638E-2</v>
      </c>
      <c r="O486">
        <v>96</v>
      </c>
      <c r="P486" t="s">
        <v>15</v>
      </c>
      <c r="Q486">
        <f>IF(Table1[[#This Row],[Compliance]]="Yes", 1, 0)</f>
        <v>1</v>
      </c>
    </row>
    <row r="487" spans="1:17" x14ac:dyDescent="0.35">
      <c r="A487" t="s">
        <v>512</v>
      </c>
      <c r="B487" t="s">
        <v>29</v>
      </c>
      <c r="C487" s="1">
        <v>44759</v>
      </c>
      <c r="D487" s="1">
        <v>44767</v>
      </c>
      <c r="E487" s="1">
        <f>SUM(Table1[[#This Row],[Delivery_Date]]-Table1[[#This Row],[Order_Date]])</f>
        <v>8</v>
      </c>
      <c r="F487" t="s">
        <v>21</v>
      </c>
      <c r="G487" t="s">
        <v>18</v>
      </c>
      <c r="H487">
        <v>1808</v>
      </c>
      <c r="I487" s="4">
        <v>72.23</v>
      </c>
      <c r="J487" s="4">
        <v>67.86</v>
      </c>
      <c r="K487" s="4">
        <f>Table1[[#This Row],[Quantity]]*Table1[[#This Row],[Negotiated_Price]]</f>
        <v>122690.88</v>
      </c>
      <c r="L487" s="4">
        <f>Table1[[#This Row],[Quantity]]*Table1[[#This Row],[Unit_Price]]</f>
        <v>130591.84000000001</v>
      </c>
      <c r="M487" s="4">
        <f>Table1[[#This Row],[Unit_Price]]-Table1[[#This Row],[Negotiated_Price]]</f>
        <v>4.3700000000000045</v>
      </c>
      <c r="N487" s="3">
        <f>(Table1[[#This Row],[Unit_Price]]-Table1[[#This Row],[Negotiated_Price]])/Table1[[#This Row],[Unit_Price]]</f>
        <v>6.050117679634507E-2</v>
      </c>
      <c r="O487">
        <v>53</v>
      </c>
      <c r="P487" t="s">
        <v>15</v>
      </c>
      <c r="Q487">
        <f>IF(Table1[[#This Row],[Compliance]]="Yes", 1, 0)</f>
        <v>1</v>
      </c>
    </row>
    <row r="488" spans="1:17" x14ac:dyDescent="0.35">
      <c r="A488" t="s">
        <v>513</v>
      </c>
      <c r="B488" t="s">
        <v>17</v>
      </c>
      <c r="C488" s="1">
        <v>44970</v>
      </c>
      <c r="D488" s="1">
        <v>44973</v>
      </c>
      <c r="E488" s="1">
        <f>SUM(Table1[[#This Row],[Delivery_Date]]-Table1[[#This Row],[Order_Date]])</f>
        <v>3</v>
      </c>
      <c r="F488" t="s">
        <v>39</v>
      </c>
      <c r="G488" t="s">
        <v>14</v>
      </c>
      <c r="H488">
        <v>615</v>
      </c>
      <c r="I488" s="4">
        <v>30.3</v>
      </c>
      <c r="J488" s="4">
        <v>29.52</v>
      </c>
      <c r="K488" s="4">
        <f>Table1[[#This Row],[Quantity]]*Table1[[#This Row],[Negotiated_Price]]</f>
        <v>18154.8</v>
      </c>
      <c r="L488" s="4">
        <f>Table1[[#This Row],[Quantity]]*Table1[[#This Row],[Unit_Price]]</f>
        <v>18634.5</v>
      </c>
      <c r="M488" s="4">
        <f>Table1[[#This Row],[Unit_Price]]-Table1[[#This Row],[Negotiated_Price]]</f>
        <v>0.78000000000000114</v>
      </c>
      <c r="N488" s="3">
        <f>(Table1[[#This Row],[Unit_Price]]-Table1[[#This Row],[Negotiated_Price]])/Table1[[#This Row],[Unit_Price]]</f>
        <v>2.5742574257425779E-2</v>
      </c>
      <c r="O488">
        <v>96</v>
      </c>
      <c r="P488" t="s">
        <v>15</v>
      </c>
      <c r="Q488">
        <f>IF(Table1[[#This Row],[Compliance]]="Yes", 1, 0)</f>
        <v>1</v>
      </c>
    </row>
    <row r="489" spans="1:17" x14ac:dyDescent="0.35">
      <c r="A489" t="s">
        <v>514</v>
      </c>
      <c r="B489" t="s">
        <v>20</v>
      </c>
      <c r="C489" s="1">
        <v>44898</v>
      </c>
      <c r="D489" s="1">
        <v>44899</v>
      </c>
      <c r="E489" s="1">
        <f>SUM(Table1[[#This Row],[Delivery_Date]]-Table1[[#This Row],[Order_Date]])</f>
        <v>1</v>
      </c>
      <c r="F489" t="s">
        <v>13</v>
      </c>
      <c r="G489" t="s">
        <v>35</v>
      </c>
      <c r="H489">
        <v>619</v>
      </c>
      <c r="I489" s="4">
        <v>38.380000000000003</v>
      </c>
      <c r="J489" s="4">
        <v>35.020000000000003</v>
      </c>
      <c r="K489" s="4">
        <f>Table1[[#This Row],[Quantity]]*Table1[[#This Row],[Negotiated_Price]]</f>
        <v>21677.38</v>
      </c>
      <c r="L489" s="4">
        <f>Table1[[#This Row],[Quantity]]*Table1[[#This Row],[Unit_Price]]</f>
        <v>23757.22</v>
      </c>
      <c r="M489" s="4">
        <f>Table1[[#This Row],[Unit_Price]]-Table1[[#This Row],[Negotiated_Price]]</f>
        <v>3.3599999999999994</v>
      </c>
      <c r="N489" s="3">
        <f>(Table1[[#This Row],[Unit_Price]]-Table1[[#This Row],[Negotiated_Price]])/Table1[[#This Row],[Unit_Price]]</f>
        <v>8.7545596664929629E-2</v>
      </c>
      <c r="O489">
        <v>34</v>
      </c>
      <c r="P489" t="s">
        <v>15</v>
      </c>
      <c r="Q489">
        <f>IF(Table1[[#This Row],[Compliance]]="Yes", 1, 0)</f>
        <v>1</v>
      </c>
    </row>
    <row r="490" spans="1:17" x14ac:dyDescent="0.35">
      <c r="A490" t="s">
        <v>515</v>
      </c>
      <c r="B490" t="s">
        <v>17</v>
      </c>
      <c r="C490" s="1">
        <v>44847</v>
      </c>
      <c r="D490" s="1">
        <v>44851</v>
      </c>
      <c r="E490" s="1">
        <f>SUM(Table1[[#This Row],[Delivery_Date]]-Table1[[#This Row],[Order_Date]])</f>
        <v>4</v>
      </c>
      <c r="F490" t="s">
        <v>13</v>
      </c>
      <c r="G490" t="s">
        <v>18</v>
      </c>
      <c r="H490">
        <v>1396</v>
      </c>
      <c r="I490" s="4">
        <v>94.75</v>
      </c>
      <c r="J490" s="4">
        <v>84.06</v>
      </c>
      <c r="K490" s="4">
        <f>Table1[[#This Row],[Quantity]]*Table1[[#This Row],[Negotiated_Price]]</f>
        <v>117347.76000000001</v>
      </c>
      <c r="L490" s="4">
        <f>Table1[[#This Row],[Quantity]]*Table1[[#This Row],[Unit_Price]]</f>
        <v>132271</v>
      </c>
      <c r="M490" s="4">
        <f>Table1[[#This Row],[Unit_Price]]-Table1[[#This Row],[Negotiated_Price]]</f>
        <v>10.689999999999998</v>
      </c>
      <c r="N490" s="3">
        <f>(Table1[[#This Row],[Unit_Price]]-Table1[[#This Row],[Negotiated_Price]])/Table1[[#This Row],[Unit_Price]]</f>
        <v>0.11282321899736146</v>
      </c>
      <c r="O490">
        <v>210</v>
      </c>
      <c r="P490" t="s">
        <v>15</v>
      </c>
      <c r="Q490">
        <f>IF(Table1[[#This Row],[Compliance]]="Yes", 1, 0)</f>
        <v>1</v>
      </c>
    </row>
    <row r="491" spans="1:17" x14ac:dyDescent="0.35">
      <c r="A491" t="s">
        <v>516</v>
      </c>
      <c r="B491" t="s">
        <v>20</v>
      </c>
      <c r="C491" s="1">
        <v>44633</v>
      </c>
      <c r="D491" s="1">
        <v>44644</v>
      </c>
      <c r="E491" s="1">
        <f>SUM(Table1[[#This Row],[Delivery_Date]]-Table1[[#This Row],[Order_Date]])</f>
        <v>11</v>
      </c>
      <c r="F491" t="s">
        <v>21</v>
      </c>
      <c r="G491" t="s">
        <v>18</v>
      </c>
      <c r="H491">
        <v>1945</v>
      </c>
      <c r="I491" s="4">
        <v>11.28</v>
      </c>
      <c r="J491" s="4">
        <v>9.98</v>
      </c>
      <c r="K491" s="4">
        <f>Table1[[#This Row],[Quantity]]*Table1[[#This Row],[Negotiated_Price]]</f>
        <v>19411.100000000002</v>
      </c>
      <c r="L491" s="4">
        <f>Table1[[#This Row],[Quantity]]*Table1[[#This Row],[Unit_Price]]</f>
        <v>21939.599999999999</v>
      </c>
      <c r="M491" s="4">
        <f>Table1[[#This Row],[Unit_Price]]-Table1[[#This Row],[Negotiated_Price]]</f>
        <v>1.2999999999999989</v>
      </c>
      <c r="N491" s="3">
        <f>(Table1[[#This Row],[Unit_Price]]-Table1[[#This Row],[Negotiated_Price]])/Table1[[#This Row],[Unit_Price]]</f>
        <v>0.11524822695035453</v>
      </c>
      <c r="O491">
        <v>94</v>
      </c>
      <c r="P491" t="s">
        <v>15</v>
      </c>
      <c r="Q491">
        <f>IF(Table1[[#This Row],[Compliance]]="Yes", 1, 0)</f>
        <v>1</v>
      </c>
    </row>
    <row r="492" spans="1:17" x14ac:dyDescent="0.35">
      <c r="A492" t="s">
        <v>517</v>
      </c>
      <c r="B492" t="s">
        <v>17</v>
      </c>
      <c r="C492" s="1">
        <v>44847</v>
      </c>
      <c r="D492" s="1">
        <v>44852</v>
      </c>
      <c r="E492" s="1">
        <f>SUM(Table1[[#This Row],[Delivery_Date]]-Table1[[#This Row],[Order_Date]])</f>
        <v>5</v>
      </c>
      <c r="F492" t="s">
        <v>24</v>
      </c>
      <c r="G492" t="s">
        <v>18</v>
      </c>
      <c r="H492">
        <v>735</v>
      </c>
      <c r="I492" s="4">
        <v>18.489999999999998</v>
      </c>
      <c r="J492" s="4">
        <v>15.89</v>
      </c>
      <c r="K492" s="4">
        <f>Table1[[#This Row],[Quantity]]*Table1[[#This Row],[Negotiated_Price]]</f>
        <v>11679.15</v>
      </c>
      <c r="L492" s="4">
        <f>Table1[[#This Row],[Quantity]]*Table1[[#This Row],[Unit_Price]]</f>
        <v>13590.15</v>
      </c>
      <c r="M492" s="4">
        <f>Table1[[#This Row],[Unit_Price]]-Table1[[#This Row],[Negotiated_Price]]</f>
        <v>2.5999999999999979</v>
      </c>
      <c r="N492" s="3">
        <f>(Table1[[#This Row],[Unit_Price]]-Table1[[#This Row],[Negotiated_Price]])/Table1[[#This Row],[Unit_Price]]</f>
        <v>0.14061654948620866</v>
      </c>
      <c r="O492">
        <v>113</v>
      </c>
      <c r="P492" t="s">
        <v>27</v>
      </c>
      <c r="Q492">
        <f>IF(Table1[[#This Row],[Compliance]]="Yes", 1, 0)</f>
        <v>0</v>
      </c>
    </row>
    <row r="493" spans="1:17" x14ac:dyDescent="0.35">
      <c r="A493" t="s">
        <v>518</v>
      </c>
      <c r="B493" t="s">
        <v>29</v>
      </c>
      <c r="C493" s="1">
        <v>44921</v>
      </c>
      <c r="D493" s="1">
        <v>44937</v>
      </c>
      <c r="E493" s="1">
        <f>SUM(Table1[[#This Row],[Delivery_Date]]-Table1[[#This Row],[Order_Date]])</f>
        <v>16</v>
      </c>
      <c r="F493" t="s">
        <v>13</v>
      </c>
      <c r="G493" t="s">
        <v>35</v>
      </c>
      <c r="H493">
        <v>1865</v>
      </c>
      <c r="I493" s="4">
        <v>30.29</v>
      </c>
      <c r="J493" s="4">
        <v>26.83</v>
      </c>
      <c r="K493" s="4">
        <f>Table1[[#This Row],[Quantity]]*Table1[[#This Row],[Negotiated_Price]]</f>
        <v>50037.95</v>
      </c>
      <c r="L493" s="4">
        <f>Table1[[#This Row],[Quantity]]*Table1[[#This Row],[Unit_Price]]</f>
        <v>56490.85</v>
      </c>
      <c r="M493" s="4">
        <f>Table1[[#This Row],[Unit_Price]]-Table1[[#This Row],[Negotiated_Price]]</f>
        <v>3.4600000000000009</v>
      </c>
      <c r="N493" s="3">
        <f>(Table1[[#This Row],[Unit_Price]]-Table1[[#This Row],[Negotiated_Price]])/Table1[[#This Row],[Unit_Price]]</f>
        <v>0.11422911852096404</v>
      </c>
      <c r="O493">
        <v>56</v>
      </c>
      <c r="P493" t="s">
        <v>15</v>
      </c>
      <c r="Q493">
        <f>IF(Table1[[#This Row],[Compliance]]="Yes", 1, 0)</f>
        <v>1</v>
      </c>
    </row>
    <row r="494" spans="1:17" x14ac:dyDescent="0.35">
      <c r="A494" t="s">
        <v>519</v>
      </c>
      <c r="B494" t="s">
        <v>23</v>
      </c>
      <c r="C494" s="1">
        <v>45218</v>
      </c>
      <c r="D494" s="1">
        <v>45223</v>
      </c>
      <c r="E494" s="1">
        <f>SUM(Table1[[#This Row],[Delivery_Date]]-Table1[[#This Row],[Order_Date]])</f>
        <v>5</v>
      </c>
      <c r="F494" t="s">
        <v>39</v>
      </c>
      <c r="G494" t="s">
        <v>14</v>
      </c>
      <c r="H494">
        <v>675</v>
      </c>
      <c r="I494" s="4">
        <v>13.69</v>
      </c>
      <c r="J494" s="4">
        <v>11.84</v>
      </c>
      <c r="K494" s="4">
        <f>Table1[[#This Row],[Quantity]]*Table1[[#This Row],[Negotiated_Price]]</f>
        <v>7992</v>
      </c>
      <c r="L494" s="4">
        <f>Table1[[#This Row],[Quantity]]*Table1[[#This Row],[Unit_Price]]</f>
        <v>9240.75</v>
      </c>
      <c r="M494" s="4">
        <f>Table1[[#This Row],[Unit_Price]]-Table1[[#This Row],[Negotiated_Price]]</f>
        <v>1.8499999999999996</v>
      </c>
      <c r="N494" s="3">
        <f>(Table1[[#This Row],[Unit_Price]]-Table1[[#This Row],[Negotiated_Price]])/Table1[[#This Row],[Unit_Price]]</f>
        <v>0.13513513513513511</v>
      </c>
      <c r="O494">
        <v>52</v>
      </c>
      <c r="P494" t="s">
        <v>15</v>
      </c>
      <c r="Q494">
        <f>IF(Table1[[#This Row],[Compliance]]="Yes", 1, 0)</f>
        <v>1</v>
      </c>
    </row>
    <row r="495" spans="1:17" x14ac:dyDescent="0.35">
      <c r="A495" t="s">
        <v>520</v>
      </c>
      <c r="B495" t="s">
        <v>20</v>
      </c>
      <c r="C495" s="1">
        <v>45083</v>
      </c>
      <c r="D495" s="1">
        <v>45099</v>
      </c>
      <c r="E495" s="1">
        <f>SUM(Table1[[#This Row],[Delivery_Date]]-Table1[[#This Row],[Order_Date]])</f>
        <v>16</v>
      </c>
      <c r="F495" t="s">
        <v>21</v>
      </c>
      <c r="G495" t="s">
        <v>35</v>
      </c>
      <c r="H495">
        <v>1361</v>
      </c>
      <c r="I495" s="4">
        <v>28.57</v>
      </c>
      <c r="J495" s="4">
        <v>24.29</v>
      </c>
      <c r="K495" s="4">
        <f>Table1[[#This Row],[Quantity]]*Table1[[#This Row],[Negotiated_Price]]</f>
        <v>33058.69</v>
      </c>
      <c r="L495" s="4">
        <f>Table1[[#This Row],[Quantity]]*Table1[[#This Row],[Unit_Price]]</f>
        <v>38883.769999999997</v>
      </c>
      <c r="M495" s="4">
        <f>Table1[[#This Row],[Unit_Price]]-Table1[[#This Row],[Negotiated_Price]]</f>
        <v>4.2800000000000011</v>
      </c>
      <c r="N495" s="3">
        <f>(Table1[[#This Row],[Unit_Price]]-Table1[[#This Row],[Negotiated_Price]])/Table1[[#This Row],[Unit_Price]]</f>
        <v>0.14980749037451876</v>
      </c>
      <c r="O495">
        <v>65</v>
      </c>
      <c r="P495" t="s">
        <v>15</v>
      </c>
      <c r="Q495">
        <f>IF(Table1[[#This Row],[Compliance]]="Yes", 1, 0)</f>
        <v>1</v>
      </c>
    </row>
    <row r="496" spans="1:17" x14ac:dyDescent="0.35">
      <c r="A496" t="s">
        <v>521</v>
      </c>
      <c r="B496" t="s">
        <v>20</v>
      </c>
      <c r="C496" s="1">
        <v>44971</v>
      </c>
      <c r="D496" s="1">
        <v>44972</v>
      </c>
      <c r="E496" s="1">
        <f>SUM(Table1[[#This Row],[Delivery_Date]]-Table1[[#This Row],[Order_Date]])</f>
        <v>1</v>
      </c>
      <c r="F496" t="s">
        <v>26</v>
      </c>
      <c r="G496" t="s">
        <v>18</v>
      </c>
      <c r="H496">
        <v>903</v>
      </c>
      <c r="I496" s="4">
        <v>66.53</v>
      </c>
      <c r="J496" s="4">
        <v>60.15</v>
      </c>
      <c r="K496" s="4">
        <f>Table1[[#This Row],[Quantity]]*Table1[[#This Row],[Negotiated_Price]]</f>
        <v>54315.45</v>
      </c>
      <c r="L496" s="4">
        <f>Table1[[#This Row],[Quantity]]*Table1[[#This Row],[Unit_Price]]</f>
        <v>60076.590000000004</v>
      </c>
      <c r="M496" s="4">
        <f>Table1[[#This Row],[Unit_Price]]-Table1[[#This Row],[Negotiated_Price]]</f>
        <v>6.3800000000000026</v>
      </c>
      <c r="N496" s="3">
        <f>(Table1[[#This Row],[Unit_Price]]-Table1[[#This Row],[Negotiated_Price]])/Table1[[#This Row],[Unit_Price]]</f>
        <v>9.5896588005411135E-2</v>
      </c>
      <c r="O496">
        <v>29</v>
      </c>
      <c r="P496" t="s">
        <v>15</v>
      </c>
      <c r="Q496">
        <f>IF(Table1[[#This Row],[Compliance]]="Yes", 1, 0)</f>
        <v>1</v>
      </c>
    </row>
    <row r="497" spans="1:17" hidden="1" x14ac:dyDescent="0.35">
      <c r="A497" t="s">
        <v>522</v>
      </c>
      <c r="B497" t="s">
        <v>29</v>
      </c>
      <c r="C497" s="1">
        <v>45257</v>
      </c>
      <c r="E497" s="1">
        <f>SUM(Table1[[#This Row],[Delivery_Date]]-Table1[[#This Row],[Order_Date]])</f>
        <v>-45257</v>
      </c>
      <c r="F497" t="s">
        <v>24</v>
      </c>
      <c r="G497" t="s">
        <v>14</v>
      </c>
      <c r="H497">
        <v>1736</v>
      </c>
      <c r="I497">
        <v>53.2</v>
      </c>
      <c r="J497">
        <v>50.68</v>
      </c>
      <c r="K497">
        <f>Table1[[#This Row],[Quantity]]*Table1[[#This Row],[Negotiated_Price]]</f>
        <v>87980.479999999996</v>
      </c>
      <c r="L497" s="5">
        <f>Table1[[#This Row],[Quantity]]*Table1[[#This Row],[Unit_Price]]</f>
        <v>92355.200000000012</v>
      </c>
      <c r="M497">
        <f>Table1[[#This Row],[Unit_Price]]-Table1[[#This Row],[Negotiated_Price]]</f>
        <v>2.5200000000000031</v>
      </c>
      <c r="N497" s="2">
        <f>(Table1[[#This Row],[Unit_Price]]-Table1[[#This Row],[Negotiated_Price]])/Table1[[#This Row],[Unit_Price]]</f>
        <v>4.7368421052631636E-2</v>
      </c>
      <c r="O497">
        <v>48</v>
      </c>
      <c r="P497" t="s">
        <v>15</v>
      </c>
      <c r="Q497">
        <f>IF(Table1[[#This Row],[Compliance]]="Yes", 1, 0)</f>
        <v>1</v>
      </c>
    </row>
    <row r="498" spans="1:17" x14ac:dyDescent="0.35">
      <c r="A498" t="s">
        <v>523</v>
      </c>
      <c r="B498" t="s">
        <v>23</v>
      </c>
      <c r="C498" s="1">
        <v>45111</v>
      </c>
      <c r="D498" s="1">
        <v>45118</v>
      </c>
      <c r="E498" s="1">
        <f>SUM(Table1[[#This Row],[Delivery_Date]]-Table1[[#This Row],[Order_Date]])</f>
        <v>7</v>
      </c>
      <c r="F498" t="s">
        <v>21</v>
      </c>
      <c r="G498" t="s">
        <v>18</v>
      </c>
      <c r="H498">
        <v>1011</v>
      </c>
      <c r="I498" s="4">
        <v>98.47</v>
      </c>
      <c r="J498" s="4">
        <v>97.06</v>
      </c>
      <c r="K498" s="4">
        <f>Table1[[#This Row],[Quantity]]*Table1[[#This Row],[Negotiated_Price]]</f>
        <v>98127.66</v>
      </c>
      <c r="L498" s="4">
        <f>Table1[[#This Row],[Quantity]]*Table1[[#This Row],[Unit_Price]]</f>
        <v>99553.17</v>
      </c>
      <c r="M498" s="4">
        <f>Table1[[#This Row],[Unit_Price]]-Table1[[#This Row],[Negotiated_Price]]</f>
        <v>1.4099999999999966</v>
      </c>
      <c r="N498" s="3">
        <f>(Table1[[#This Row],[Unit_Price]]-Table1[[#This Row],[Negotiated_Price]])/Table1[[#This Row],[Unit_Price]]</f>
        <v>1.4319081953894553E-2</v>
      </c>
      <c r="O498">
        <v>91</v>
      </c>
      <c r="P498" t="s">
        <v>15</v>
      </c>
      <c r="Q498">
        <f>IF(Table1[[#This Row],[Compliance]]="Yes", 1, 0)</f>
        <v>1</v>
      </c>
    </row>
    <row r="499" spans="1:17" x14ac:dyDescent="0.35">
      <c r="A499" t="s">
        <v>524</v>
      </c>
      <c r="B499" t="s">
        <v>17</v>
      </c>
      <c r="C499" s="1">
        <v>44901</v>
      </c>
      <c r="D499" s="1">
        <v>44919</v>
      </c>
      <c r="E499" s="1">
        <f>SUM(Table1[[#This Row],[Delivery_Date]]-Table1[[#This Row],[Order_Date]])</f>
        <v>18</v>
      </c>
      <c r="F499" t="s">
        <v>39</v>
      </c>
      <c r="G499" t="s">
        <v>18</v>
      </c>
      <c r="H499">
        <v>1712</v>
      </c>
      <c r="I499" s="4">
        <v>88.17</v>
      </c>
      <c r="J499" s="4">
        <v>85.86</v>
      </c>
      <c r="K499" s="4">
        <f>Table1[[#This Row],[Quantity]]*Table1[[#This Row],[Negotiated_Price]]</f>
        <v>146992.32000000001</v>
      </c>
      <c r="L499" s="4">
        <f>Table1[[#This Row],[Quantity]]*Table1[[#This Row],[Unit_Price]]</f>
        <v>150947.04</v>
      </c>
      <c r="M499" s="4">
        <f>Table1[[#This Row],[Unit_Price]]-Table1[[#This Row],[Negotiated_Price]]</f>
        <v>2.3100000000000023</v>
      </c>
      <c r="N499" s="3">
        <f>(Table1[[#This Row],[Unit_Price]]-Table1[[#This Row],[Negotiated_Price]])/Table1[[#This Row],[Unit_Price]]</f>
        <v>2.6199387546784646E-2</v>
      </c>
      <c r="O499">
        <v>246</v>
      </c>
      <c r="P499" t="s">
        <v>15</v>
      </c>
      <c r="Q499">
        <f>IF(Table1[[#This Row],[Compliance]]="Yes", 1, 0)</f>
        <v>1</v>
      </c>
    </row>
    <row r="500" spans="1:17" hidden="1" x14ac:dyDescent="0.35">
      <c r="A500" t="s">
        <v>525</v>
      </c>
      <c r="B500" t="s">
        <v>20</v>
      </c>
      <c r="C500" s="1">
        <v>44590</v>
      </c>
      <c r="E500" s="1">
        <f>SUM(Table1[[#This Row],[Delivery_Date]]-Table1[[#This Row],[Order_Date]])</f>
        <v>-44590</v>
      </c>
      <c r="F500" t="s">
        <v>13</v>
      </c>
      <c r="G500" t="s">
        <v>18</v>
      </c>
      <c r="H500">
        <v>204</v>
      </c>
      <c r="I500">
        <v>40.76</v>
      </c>
      <c r="J500">
        <v>37.46</v>
      </c>
      <c r="K500">
        <f>Table1[[#This Row],[Quantity]]*Table1[[#This Row],[Negotiated_Price]]</f>
        <v>7641.84</v>
      </c>
      <c r="L500" s="5">
        <f>Table1[[#This Row],[Quantity]]*Table1[[#This Row],[Unit_Price]]</f>
        <v>8315.0399999999991</v>
      </c>
      <c r="M500">
        <f>Table1[[#This Row],[Unit_Price]]-Table1[[#This Row],[Negotiated_Price]]</f>
        <v>3.2999999999999972</v>
      </c>
      <c r="N500" s="2">
        <f>(Table1[[#This Row],[Unit_Price]]-Table1[[#This Row],[Negotiated_Price]])/Table1[[#This Row],[Unit_Price]]</f>
        <v>8.0961727183513188E-2</v>
      </c>
      <c r="O500">
        <v>10</v>
      </c>
      <c r="P500" t="s">
        <v>15</v>
      </c>
      <c r="Q500">
        <f>IF(Table1[[#This Row],[Compliance]]="Yes", 1, 0)</f>
        <v>1</v>
      </c>
    </row>
    <row r="501" spans="1:17" x14ac:dyDescent="0.35">
      <c r="A501" t="s">
        <v>526</v>
      </c>
      <c r="B501" t="s">
        <v>23</v>
      </c>
      <c r="C501" s="1">
        <v>44680</v>
      </c>
      <c r="D501" s="1">
        <v>44694</v>
      </c>
      <c r="E501" s="1">
        <f>SUM(Table1[[#This Row],[Delivery_Date]]-Table1[[#This Row],[Order_Date]])</f>
        <v>14</v>
      </c>
      <c r="F501" t="s">
        <v>39</v>
      </c>
      <c r="G501" t="s">
        <v>33</v>
      </c>
      <c r="H501">
        <v>539</v>
      </c>
      <c r="I501" s="4">
        <v>33.85</v>
      </c>
      <c r="J501" s="4">
        <v>30.57</v>
      </c>
      <c r="K501" s="4">
        <f>Table1[[#This Row],[Quantity]]*Table1[[#This Row],[Negotiated_Price]]</f>
        <v>16477.23</v>
      </c>
      <c r="L501" s="4">
        <f>Table1[[#This Row],[Quantity]]*Table1[[#This Row],[Unit_Price]]</f>
        <v>18245.150000000001</v>
      </c>
      <c r="M501" s="4">
        <f>Table1[[#This Row],[Unit_Price]]-Table1[[#This Row],[Negotiated_Price]]</f>
        <v>3.2800000000000011</v>
      </c>
      <c r="N501" s="3">
        <f>(Table1[[#This Row],[Unit_Price]]-Table1[[#This Row],[Negotiated_Price]])/Table1[[#This Row],[Unit_Price]]</f>
        <v>9.6898079763663256E-2</v>
      </c>
      <c r="O501">
        <v>34</v>
      </c>
      <c r="P501" t="s">
        <v>27</v>
      </c>
      <c r="Q501">
        <f>IF(Table1[[#This Row],[Compliance]]="Yes", 1, 0)</f>
        <v>0</v>
      </c>
    </row>
    <row r="502" spans="1:17" x14ac:dyDescent="0.35">
      <c r="A502" t="s">
        <v>527</v>
      </c>
      <c r="B502" t="s">
        <v>17</v>
      </c>
      <c r="C502" s="1">
        <v>44829</v>
      </c>
      <c r="D502" s="1">
        <v>44839</v>
      </c>
      <c r="E502" s="1">
        <f>SUM(Table1[[#This Row],[Delivery_Date]]-Table1[[#This Row],[Order_Date]])</f>
        <v>10</v>
      </c>
      <c r="F502" t="s">
        <v>13</v>
      </c>
      <c r="G502" t="s">
        <v>18</v>
      </c>
      <c r="H502">
        <v>1459</v>
      </c>
      <c r="I502" s="4">
        <v>45.94</v>
      </c>
      <c r="J502" s="4">
        <v>42.56</v>
      </c>
      <c r="K502" s="4">
        <f>Table1[[#This Row],[Quantity]]*Table1[[#This Row],[Negotiated_Price]]</f>
        <v>62095.040000000001</v>
      </c>
      <c r="L502" s="4">
        <f>Table1[[#This Row],[Quantity]]*Table1[[#This Row],[Unit_Price]]</f>
        <v>67026.459999999992</v>
      </c>
      <c r="M502" s="4">
        <f>Table1[[#This Row],[Unit_Price]]-Table1[[#This Row],[Negotiated_Price]]</f>
        <v>3.3799999999999955</v>
      </c>
      <c r="N502" s="3">
        <f>(Table1[[#This Row],[Unit_Price]]-Table1[[#This Row],[Negotiated_Price]])/Table1[[#This Row],[Unit_Price]]</f>
        <v>7.3574227252938523E-2</v>
      </c>
      <c r="O502">
        <v>212</v>
      </c>
      <c r="P502" t="s">
        <v>27</v>
      </c>
      <c r="Q502">
        <f>IF(Table1[[#This Row],[Compliance]]="Yes", 1, 0)</f>
        <v>0</v>
      </c>
    </row>
    <row r="503" spans="1:17" x14ac:dyDescent="0.35">
      <c r="A503" t="s">
        <v>528</v>
      </c>
      <c r="B503" t="s">
        <v>20</v>
      </c>
      <c r="C503" s="1">
        <v>44744</v>
      </c>
      <c r="D503" s="1">
        <v>44748</v>
      </c>
      <c r="E503" s="1">
        <f>SUM(Table1[[#This Row],[Delivery_Date]]-Table1[[#This Row],[Order_Date]])</f>
        <v>4</v>
      </c>
      <c r="F503" t="s">
        <v>21</v>
      </c>
      <c r="G503" t="s">
        <v>18</v>
      </c>
      <c r="H503">
        <v>834</v>
      </c>
      <c r="I503" s="4">
        <v>65.02</v>
      </c>
      <c r="J503" s="4">
        <v>56.19</v>
      </c>
      <c r="K503" s="4">
        <f>Table1[[#This Row],[Quantity]]*Table1[[#This Row],[Negotiated_Price]]</f>
        <v>46862.46</v>
      </c>
      <c r="L503" s="4">
        <f>Table1[[#This Row],[Quantity]]*Table1[[#This Row],[Unit_Price]]</f>
        <v>54226.68</v>
      </c>
      <c r="M503" s="4">
        <f>Table1[[#This Row],[Unit_Price]]-Table1[[#This Row],[Negotiated_Price]]</f>
        <v>8.8299999999999983</v>
      </c>
      <c r="N503" s="3">
        <f>(Table1[[#This Row],[Unit_Price]]-Table1[[#This Row],[Negotiated_Price]])/Table1[[#This Row],[Unit_Price]]</f>
        <v>0.13580436788680406</v>
      </c>
      <c r="P503" t="s">
        <v>15</v>
      </c>
      <c r="Q503">
        <f>IF(Table1[[#This Row],[Compliance]]="Yes", 1, 0)</f>
        <v>1</v>
      </c>
    </row>
    <row r="504" spans="1:17" x14ac:dyDescent="0.35">
      <c r="A504" t="s">
        <v>529</v>
      </c>
      <c r="B504" t="s">
        <v>20</v>
      </c>
      <c r="C504" s="1">
        <v>45156</v>
      </c>
      <c r="D504" s="1">
        <v>45170</v>
      </c>
      <c r="E504" s="1">
        <f>SUM(Table1[[#This Row],[Delivery_Date]]-Table1[[#This Row],[Order_Date]])</f>
        <v>14</v>
      </c>
      <c r="F504" t="s">
        <v>24</v>
      </c>
      <c r="G504" t="s">
        <v>33</v>
      </c>
      <c r="H504">
        <v>1177</v>
      </c>
      <c r="I504" s="4">
        <v>37.369999999999997</v>
      </c>
      <c r="J504" s="4">
        <v>34.270000000000003</v>
      </c>
      <c r="K504" s="4">
        <f>Table1[[#This Row],[Quantity]]*Table1[[#This Row],[Negotiated_Price]]</f>
        <v>40335.79</v>
      </c>
      <c r="L504" s="4">
        <f>Table1[[#This Row],[Quantity]]*Table1[[#This Row],[Unit_Price]]</f>
        <v>43984.49</v>
      </c>
      <c r="M504" s="4">
        <f>Table1[[#This Row],[Unit_Price]]-Table1[[#This Row],[Negotiated_Price]]</f>
        <v>3.0999999999999943</v>
      </c>
      <c r="N504" s="3">
        <f>(Table1[[#This Row],[Unit_Price]]-Table1[[#This Row],[Negotiated_Price]])/Table1[[#This Row],[Unit_Price]]</f>
        <v>8.295424137008281E-2</v>
      </c>
      <c r="O504">
        <v>60</v>
      </c>
      <c r="P504" t="s">
        <v>15</v>
      </c>
      <c r="Q504">
        <f>IF(Table1[[#This Row],[Compliance]]="Yes", 1, 0)</f>
        <v>1</v>
      </c>
    </row>
    <row r="505" spans="1:17" x14ac:dyDescent="0.35">
      <c r="A505" t="s">
        <v>530</v>
      </c>
      <c r="B505" t="s">
        <v>17</v>
      </c>
      <c r="C505" s="1">
        <v>44833</v>
      </c>
      <c r="D505" s="1">
        <v>44853</v>
      </c>
      <c r="E505" s="1">
        <f>SUM(Table1[[#This Row],[Delivery_Date]]-Table1[[#This Row],[Order_Date]])</f>
        <v>20</v>
      </c>
      <c r="F505" t="s">
        <v>21</v>
      </c>
      <c r="G505" t="s">
        <v>18</v>
      </c>
      <c r="H505">
        <v>1466</v>
      </c>
      <c r="I505" s="4">
        <v>68.819999999999993</v>
      </c>
      <c r="J505" s="4">
        <v>66.819999999999993</v>
      </c>
      <c r="K505" s="4">
        <f>Table1[[#This Row],[Quantity]]*Table1[[#This Row],[Negotiated_Price]]</f>
        <v>97958.12</v>
      </c>
      <c r="L505" s="4">
        <f>Table1[[#This Row],[Quantity]]*Table1[[#This Row],[Unit_Price]]</f>
        <v>100890.12</v>
      </c>
      <c r="M505" s="4">
        <f>Table1[[#This Row],[Unit_Price]]-Table1[[#This Row],[Negotiated_Price]]</f>
        <v>2</v>
      </c>
      <c r="N505" s="3">
        <f>(Table1[[#This Row],[Unit_Price]]-Table1[[#This Row],[Negotiated_Price]])/Table1[[#This Row],[Unit_Price]]</f>
        <v>2.9061319383900032E-2</v>
      </c>
      <c r="O505">
        <v>211</v>
      </c>
      <c r="P505" t="s">
        <v>15</v>
      </c>
      <c r="Q505">
        <f>IF(Table1[[#This Row],[Compliance]]="Yes", 1, 0)</f>
        <v>1</v>
      </c>
    </row>
    <row r="506" spans="1:17" x14ac:dyDescent="0.35">
      <c r="A506" t="s">
        <v>531</v>
      </c>
      <c r="B506" t="s">
        <v>29</v>
      </c>
      <c r="C506" s="1">
        <v>44601</v>
      </c>
      <c r="D506" s="1">
        <v>44605</v>
      </c>
      <c r="E506" s="1">
        <f>SUM(Table1[[#This Row],[Delivery_Date]]-Table1[[#This Row],[Order_Date]])</f>
        <v>4</v>
      </c>
      <c r="F506" t="s">
        <v>39</v>
      </c>
      <c r="G506" t="s">
        <v>18</v>
      </c>
      <c r="H506">
        <v>1884</v>
      </c>
      <c r="I506" s="4">
        <v>47.08</v>
      </c>
      <c r="J506" s="4">
        <v>44.31</v>
      </c>
      <c r="K506" s="4">
        <f>Table1[[#This Row],[Quantity]]*Table1[[#This Row],[Negotiated_Price]]</f>
        <v>83480.040000000008</v>
      </c>
      <c r="L506" s="4">
        <f>Table1[[#This Row],[Quantity]]*Table1[[#This Row],[Unit_Price]]</f>
        <v>88698.72</v>
      </c>
      <c r="M506" s="4">
        <f>Table1[[#This Row],[Unit_Price]]-Table1[[#This Row],[Negotiated_Price]]</f>
        <v>2.769999999999996</v>
      </c>
      <c r="N506" s="3">
        <f>(Table1[[#This Row],[Unit_Price]]-Table1[[#This Row],[Negotiated_Price]])/Table1[[#This Row],[Unit_Price]]</f>
        <v>5.8836023789294735E-2</v>
      </c>
      <c r="O506">
        <v>54</v>
      </c>
      <c r="P506" t="s">
        <v>15</v>
      </c>
      <c r="Q506">
        <f>IF(Table1[[#This Row],[Compliance]]="Yes", 1, 0)</f>
        <v>1</v>
      </c>
    </row>
    <row r="507" spans="1:17" x14ac:dyDescent="0.35">
      <c r="A507" t="s">
        <v>532</v>
      </c>
      <c r="B507" t="s">
        <v>23</v>
      </c>
      <c r="C507" s="1">
        <v>44673</v>
      </c>
      <c r="D507" s="1">
        <v>44689</v>
      </c>
      <c r="E507" s="1">
        <f>SUM(Table1[[#This Row],[Delivery_Date]]-Table1[[#This Row],[Order_Date]])</f>
        <v>16</v>
      </c>
      <c r="F507" t="s">
        <v>39</v>
      </c>
      <c r="G507" t="s">
        <v>18</v>
      </c>
      <c r="H507">
        <v>295</v>
      </c>
      <c r="I507" s="4">
        <v>60.58</v>
      </c>
      <c r="J507" s="4">
        <v>57.32</v>
      </c>
      <c r="K507" s="4">
        <f>Table1[[#This Row],[Quantity]]*Table1[[#This Row],[Negotiated_Price]]</f>
        <v>16909.400000000001</v>
      </c>
      <c r="L507" s="4">
        <f>Table1[[#This Row],[Quantity]]*Table1[[#This Row],[Unit_Price]]</f>
        <v>17871.099999999999</v>
      </c>
      <c r="M507" s="4">
        <f>Table1[[#This Row],[Unit_Price]]-Table1[[#This Row],[Negotiated_Price]]</f>
        <v>3.259999999999998</v>
      </c>
      <c r="N507" s="3">
        <f>(Table1[[#This Row],[Unit_Price]]-Table1[[#This Row],[Negotiated_Price]])/Table1[[#This Row],[Unit_Price]]</f>
        <v>5.3813139650049489E-2</v>
      </c>
      <c r="O507">
        <v>31</v>
      </c>
      <c r="P507" t="s">
        <v>15</v>
      </c>
      <c r="Q507">
        <f>IF(Table1[[#This Row],[Compliance]]="Yes", 1, 0)</f>
        <v>1</v>
      </c>
    </row>
    <row r="508" spans="1:17" x14ac:dyDescent="0.35">
      <c r="A508" t="s">
        <v>533</v>
      </c>
      <c r="B508" t="s">
        <v>20</v>
      </c>
      <c r="C508" s="1">
        <v>45172</v>
      </c>
      <c r="D508" s="1">
        <v>45173</v>
      </c>
      <c r="E508" s="1">
        <f>SUM(Table1[[#This Row],[Delivery_Date]]-Table1[[#This Row],[Order_Date]])</f>
        <v>1</v>
      </c>
      <c r="F508" t="s">
        <v>26</v>
      </c>
      <c r="G508" t="s">
        <v>18</v>
      </c>
      <c r="H508">
        <v>1249</v>
      </c>
      <c r="I508" s="4">
        <v>54.18</v>
      </c>
      <c r="J508" s="4">
        <v>47.29</v>
      </c>
      <c r="K508" s="4">
        <f>Table1[[#This Row],[Quantity]]*Table1[[#This Row],[Negotiated_Price]]</f>
        <v>59065.21</v>
      </c>
      <c r="L508" s="4">
        <f>Table1[[#This Row],[Quantity]]*Table1[[#This Row],[Unit_Price]]</f>
        <v>67670.819999999992</v>
      </c>
      <c r="M508" s="4">
        <f>Table1[[#This Row],[Unit_Price]]-Table1[[#This Row],[Negotiated_Price]]</f>
        <v>6.8900000000000006</v>
      </c>
      <c r="N508" s="3">
        <f>(Table1[[#This Row],[Unit_Price]]-Table1[[#This Row],[Negotiated_Price]])/Table1[[#This Row],[Unit_Price]]</f>
        <v>0.1271686969361388</v>
      </c>
      <c r="O508">
        <v>59</v>
      </c>
      <c r="P508" t="s">
        <v>15</v>
      </c>
      <c r="Q508">
        <f>IF(Table1[[#This Row],[Compliance]]="Yes", 1, 0)</f>
        <v>1</v>
      </c>
    </row>
    <row r="509" spans="1:17" x14ac:dyDescent="0.35">
      <c r="A509" t="s">
        <v>534</v>
      </c>
      <c r="B509" t="s">
        <v>17</v>
      </c>
      <c r="C509" s="1">
        <v>45006</v>
      </c>
      <c r="D509" s="1">
        <v>45025</v>
      </c>
      <c r="E509" s="1">
        <f>SUM(Table1[[#This Row],[Delivery_Date]]-Table1[[#This Row],[Order_Date]])</f>
        <v>19</v>
      </c>
      <c r="F509" t="s">
        <v>26</v>
      </c>
      <c r="G509" t="s">
        <v>18</v>
      </c>
      <c r="H509">
        <v>1112</v>
      </c>
      <c r="I509" s="4">
        <v>39.06</v>
      </c>
      <c r="J509" s="4">
        <v>33.6</v>
      </c>
      <c r="K509" s="4">
        <f>Table1[[#This Row],[Quantity]]*Table1[[#This Row],[Negotiated_Price]]</f>
        <v>37363.200000000004</v>
      </c>
      <c r="L509" s="4">
        <f>Table1[[#This Row],[Quantity]]*Table1[[#This Row],[Unit_Price]]</f>
        <v>43434.720000000001</v>
      </c>
      <c r="M509" s="4">
        <f>Table1[[#This Row],[Unit_Price]]-Table1[[#This Row],[Negotiated_Price]]</f>
        <v>5.4600000000000009</v>
      </c>
      <c r="N509" s="3">
        <f>(Table1[[#This Row],[Unit_Price]]-Table1[[#This Row],[Negotiated_Price]])/Table1[[#This Row],[Unit_Price]]</f>
        <v>0.13978494623655915</v>
      </c>
      <c r="O509">
        <v>184</v>
      </c>
      <c r="P509" t="s">
        <v>27</v>
      </c>
      <c r="Q509">
        <f>IF(Table1[[#This Row],[Compliance]]="Yes", 1, 0)</f>
        <v>0</v>
      </c>
    </row>
    <row r="510" spans="1:17" x14ac:dyDescent="0.35">
      <c r="A510" t="s">
        <v>535</v>
      </c>
      <c r="B510" t="s">
        <v>20</v>
      </c>
      <c r="C510" s="1">
        <v>44915</v>
      </c>
      <c r="D510" s="1">
        <v>44920</v>
      </c>
      <c r="E510" s="1">
        <f>SUM(Table1[[#This Row],[Delivery_Date]]-Table1[[#This Row],[Order_Date]])</f>
        <v>5</v>
      </c>
      <c r="F510" t="s">
        <v>13</v>
      </c>
      <c r="G510" t="s">
        <v>18</v>
      </c>
      <c r="H510">
        <v>1550</v>
      </c>
      <c r="I510" s="4">
        <v>100.61</v>
      </c>
      <c r="J510" s="4">
        <v>97.43</v>
      </c>
      <c r="K510" s="4">
        <f>Table1[[#This Row],[Quantity]]*Table1[[#This Row],[Negotiated_Price]]</f>
        <v>151016.5</v>
      </c>
      <c r="L510" s="4">
        <f>Table1[[#This Row],[Quantity]]*Table1[[#This Row],[Unit_Price]]</f>
        <v>155945.5</v>
      </c>
      <c r="M510" s="4">
        <f>Table1[[#This Row],[Unit_Price]]-Table1[[#This Row],[Negotiated_Price]]</f>
        <v>3.1799999999999926</v>
      </c>
      <c r="N510" s="3">
        <f>(Table1[[#This Row],[Unit_Price]]-Table1[[#This Row],[Negotiated_Price]])/Table1[[#This Row],[Unit_Price]]</f>
        <v>3.160719610376695E-2</v>
      </c>
      <c r="O510">
        <v>66</v>
      </c>
      <c r="P510" t="s">
        <v>15</v>
      </c>
      <c r="Q510">
        <f>IF(Table1[[#This Row],[Compliance]]="Yes", 1, 0)</f>
        <v>1</v>
      </c>
    </row>
    <row r="511" spans="1:17" x14ac:dyDescent="0.35">
      <c r="A511" t="s">
        <v>536</v>
      </c>
      <c r="B511" t="s">
        <v>17</v>
      </c>
      <c r="C511" s="1">
        <v>44883</v>
      </c>
      <c r="D511" s="1">
        <v>44884</v>
      </c>
      <c r="E511" s="1">
        <f>SUM(Table1[[#This Row],[Delivery_Date]]-Table1[[#This Row],[Order_Date]])</f>
        <v>1</v>
      </c>
      <c r="F511" t="s">
        <v>39</v>
      </c>
      <c r="G511" t="s">
        <v>18</v>
      </c>
      <c r="H511">
        <v>1755</v>
      </c>
      <c r="I511" s="4">
        <v>82.66</v>
      </c>
      <c r="J511" s="4">
        <v>73.67</v>
      </c>
      <c r="K511" s="4">
        <f>Table1[[#This Row],[Quantity]]*Table1[[#This Row],[Negotiated_Price]]</f>
        <v>129290.85</v>
      </c>
      <c r="L511" s="4">
        <f>Table1[[#This Row],[Quantity]]*Table1[[#This Row],[Unit_Price]]</f>
        <v>145068.29999999999</v>
      </c>
      <c r="M511" s="4">
        <f>Table1[[#This Row],[Unit_Price]]-Table1[[#This Row],[Negotiated_Price]]</f>
        <v>8.9899999999999949</v>
      </c>
      <c r="N511" s="3">
        <f>(Table1[[#This Row],[Unit_Price]]-Table1[[#This Row],[Negotiated_Price]])/Table1[[#This Row],[Unit_Price]]</f>
        <v>0.10875877086861838</v>
      </c>
      <c r="O511">
        <v>258</v>
      </c>
      <c r="P511" t="s">
        <v>27</v>
      </c>
      <c r="Q511">
        <f>IF(Table1[[#This Row],[Compliance]]="Yes", 1, 0)</f>
        <v>0</v>
      </c>
    </row>
    <row r="512" spans="1:17" x14ac:dyDescent="0.35">
      <c r="A512" t="s">
        <v>537</v>
      </c>
      <c r="B512" t="s">
        <v>20</v>
      </c>
      <c r="C512" s="1">
        <v>45008</v>
      </c>
      <c r="D512" s="1">
        <v>45016</v>
      </c>
      <c r="E512" s="1">
        <f>SUM(Table1[[#This Row],[Delivery_Date]]-Table1[[#This Row],[Order_Date]])</f>
        <v>8</v>
      </c>
      <c r="F512" t="s">
        <v>26</v>
      </c>
      <c r="G512" t="s">
        <v>18</v>
      </c>
      <c r="H512">
        <v>808</v>
      </c>
      <c r="I512" s="4">
        <v>24.19</v>
      </c>
      <c r="J512" s="4">
        <v>21.64</v>
      </c>
      <c r="K512" s="4">
        <f>Table1[[#This Row],[Quantity]]*Table1[[#This Row],[Negotiated_Price]]</f>
        <v>17485.12</v>
      </c>
      <c r="L512" s="4">
        <f>Table1[[#This Row],[Quantity]]*Table1[[#This Row],[Unit_Price]]</f>
        <v>19545.52</v>
      </c>
      <c r="M512" s="4">
        <f>Table1[[#This Row],[Unit_Price]]-Table1[[#This Row],[Negotiated_Price]]</f>
        <v>2.5500000000000007</v>
      </c>
      <c r="N512" s="3">
        <f>(Table1[[#This Row],[Unit_Price]]-Table1[[#This Row],[Negotiated_Price]])/Table1[[#This Row],[Unit_Price]]</f>
        <v>0.10541546093427039</v>
      </c>
      <c r="O512">
        <v>39</v>
      </c>
      <c r="P512" t="s">
        <v>15</v>
      </c>
      <c r="Q512">
        <f>IF(Table1[[#This Row],[Compliance]]="Yes", 1, 0)</f>
        <v>1</v>
      </c>
    </row>
    <row r="513" spans="1:17" x14ac:dyDescent="0.35">
      <c r="A513" t="s">
        <v>538</v>
      </c>
      <c r="B513" t="s">
        <v>12</v>
      </c>
      <c r="C513" s="1">
        <v>45182</v>
      </c>
      <c r="D513" s="1">
        <v>45188</v>
      </c>
      <c r="E513" s="1">
        <f>SUM(Table1[[#This Row],[Delivery_Date]]-Table1[[#This Row],[Order_Date]])</f>
        <v>6</v>
      </c>
      <c r="F513" t="s">
        <v>26</v>
      </c>
      <c r="G513" t="s">
        <v>33</v>
      </c>
      <c r="H513">
        <v>587</v>
      </c>
      <c r="I513" s="4">
        <v>96.98</v>
      </c>
      <c r="J513" s="4">
        <v>95.35</v>
      </c>
      <c r="K513" s="4">
        <f>Table1[[#This Row],[Quantity]]*Table1[[#This Row],[Negotiated_Price]]</f>
        <v>55970.45</v>
      </c>
      <c r="L513" s="4">
        <f>Table1[[#This Row],[Quantity]]*Table1[[#This Row],[Unit_Price]]</f>
        <v>56927.26</v>
      </c>
      <c r="M513" s="4">
        <f>Table1[[#This Row],[Unit_Price]]-Table1[[#This Row],[Negotiated_Price]]</f>
        <v>1.6300000000000097</v>
      </c>
      <c r="N513" s="3">
        <f>(Table1[[#This Row],[Unit_Price]]-Table1[[#This Row],[Negotiated_Price]])/Table1[[#This Row],[Unit_Price]]</f>
        <v>1.6807589193648272E-2</v>
      </c>
      <c r="O513">
        <v>14</v>
      </c>
      <c r="P513" t="s">
        <v>15</v>
      </c>
      <c r="Q513">
        <f>IF(Table1[[#This Row],[Compliance]]="Yes", 1, 0)</f>
        <v>1</v>
      </c>
    </row>
    <row r="514" spans="1:17" x14ac:dyDescent="0.35">
      <c r="A514" t="s">
        <v>539</v>
      </c>
      <c r="B514" t="s">
        <v>29</v>
      </c>
      <c r="C514" s="1">
        <v>45085</v>
      </c>
      <c r="D514" s="1">
        <v>45088</v>
      </c>
      <c r="E514" s="1">
        <f>SUM(Table1[[#This Row],[Delivery_Date]]-Table1[[#This Row],[Order_Date]])</f>
        <v>3</v>
      </c>
      <c r="F514" t="s">
        <v>21</v>
      </c>
      <c r="G514" t="s">
        <v>18</v>
      </c>
      <c r="H514">
        <v>1940</v>
      </c>
      <c r="I514" s="4">
        <v>58.45</v>
      </c>
      <c r="J514" s="4">
        <v>50.29</v>
      </c>
      <c r="K514" s="4">
        <f>Table1[[#This Row],[Quantity]]*Table1[[#This Row],[Negotiated_Price]]</f>
        <v>97562.599999999991</v>
      </c>
      <c r="L514" s="4">
        <f>Table1[[#This Row],[Quantity]]*Table1[[#This Row],[Unit_Price]]</f>
        <v>113393</v>
      </c>
      <c r="M514" s="4">
        <f>Table1[[#This Row],[Unit_Price]]-Table1[[#This Row],[Negotiated_Price]]</f>
        <v>8.1600000000000037</v>
      </c>
      <c r="N514" s="3">
        <f>(Table1[[#This Row],[Unit_Price]]-Table1[[#This Row],[Negotiated_Price]])/Table1[[#This Row],[Unit_Price]]</f>
        <v>0.13960650128314805</v>
      </c>
      <c r="O514">
        <v>54</v>
      </c>
      <c r="P514" t="s">
        <v>15</v>
      </c>
      <c r="Q514">
        <f>IF(Table1[[#This Row],[Compliance]]="Yes", 1, 0)</f>
        <v>1</v>
      </c>
    </row>
    <row r="515" spans="1:17" x14ac:dyDescent="0.35">
      <c r="A515" t="s">
        <v>540</v>
      </c>
      <c r="B515" t="s">
        <v>23</v>
      </c>
      <c r="C515" s="1">
        <v>44680</v>
      </c>
      <c r="D515" s="1">
        <v>44692</v>
      </c>
      <c r="E515" s="1">
        <f>SUM(Table1[[#This Row],[Delivery_Date]]-Table1[[#This Row],[Order_Date]])</f>
        <v>12</v>
      </c>
      <c r="F515" t="s">
        <v>13</v>
      </c>
      <c r="G515" t="s">
        <v>14</v>
      </c>
      <c r="H515">
        <v>1891</v>
      </c>
      <c r="I515" s="4">
        <v>91.87</v>
      </c>
      <c r="J515" s="4">
        <v>80.28</v>
      </c>
      <c r="K515" s="4">
        <f>Table1[[#This Row],[Quantity]]*Table1[[#This Row],[Negotiated_Price]]</f>
        <v>151809.48000000001</v>
      </c>
      <c r="L515" s="4">
        <f>Table1[[#This Row],[Quantity]]*Table1[[#This Row],[Unit_Price]]</f>
        <v>173726.17</v>
      </c>
      <c r="M515" s="4">
        <f>Table1[[#This Row],[Unit_Price]]-Table1[[#This Row],[Negotiated_Price]]</f>
        <v>11.590000000000003</v>
      </c>
      <c r="N515" s="3">
        <f>(Table1[[#This Row],[Unit_Price]]-Table1[[#This Row],[Negotiated_Price]])/Table1[[#This Row],[Unit_Price]]</f>
        <v>0.12615652552519868</v>
      </c>
      <c r="O515">
        <v>158</v>
      </c>
      <c r="P515" t="s">
        <v>15</v>
      </c>
      <c r="Q515">
        <f>IF(Table1[[#This Row],[Compliance]]="Yes", 1, 0)</f>
        <v>1</v>
      </c>
    </row>
    <row r="516" spans="1:17" x14ac:dyDescent="0.35">
      <c r="A516" t="s">
        <v>541</v>
      </c>
      <c r="B516" t="s">
        <v>29</v>
      </c>
      <c r="C516" s="1">
        <v>44956</v>
      </c>
      <c r="D516" s="1">
        <v>44973</v>
      </c>
      <c r="E516" s="1">
        <f>SUM(Table1[[#This Row],[Delivery_Date]]-Table1[[#This Row],[Order_Date]])</f>
        <v>17</v>
      </c>
      <c r="F516" t="s">
        <v>24</v>
      </c>
      <c r="G516" t="s">
        <v>18</v>
      </c>
      <c r="H516">
        <v>970</v>
      </c>
      <c r="I516" s="4">
        <v>86.91</v>
      </c>
      <c r="J516" s="4">
        <v>78.44</v>
      </c>
      <c r="K516" s="4">
        <f>Table1[[#This Row],[Quantity]]*Table1[[#This Row],[Negotiated_Price]]</f>
        <v>76086.8</v>
      </c>
      <c r="L516" s="4">
        <f>Table1[[#This Row],[Quantity]]*Table1[[#This Row],[Unit_Price]]</f>
        <v>84302.7</v>
      </c>
      <c r="M516" s="4">
        <f>Table1[[#This Row],[Unit_Price]]-Table1[[#This Row],[Negotiated_Price]]</f>
        <v>8.4699999999999989</v>
      </c>
      <c r="N516" s="3">
        <f>(Table1[[#This Row],[Unit_Price]]-Table1[[#This Row],[Negotiated_Price]])/Table1[[#This Row],[Unit_Price]]</f>
        <v>9.7457139569669768E-2</v>
      </c>
      <c r="O516">
        <v>18</v>
      </c>
      <c r="P516" t="s">
        <v>15</v>
      </c>
      <c r="Q516">
        <f>IF(Table1[[#This Row],[Compliance]]="Yes", 1, 0)</f>
        <v>1</v>
      </c>
    </row>
    <row r="517" spans="1:17" x14ac:dyDescent="0.35">
      <c r="A517" t="s">
        <v>542</v>
      </c>
      <c r="B517" t="s">
        <v>29</v>
      </c>
      <c r="C517" s="1">
        <v>45152</v>
      </c>
      <c r="D517" s="1">
        <v>45169</v>
      </c>
      <c r="E517" s="1">
        <f>SUM(Table1[[#This Row],[Delivery_Date]]-Table1[[#This Row],[Order_Date]])</f>
        <v>17</v>
      </c>
      <c r="F517" t="s">
        <v>21</v>
      </c>
      <c r="G517" t="s">
        <v>18</v>
      </c>
      <c r="H517">
        <v>457</v>
      </c>
      <c r="I517" s="4">
        <v>52.85</v>
      </c>
      <c r="J517" s="4">
        <v>50.34</v>
      </c>
      <c r="K517" s="4">
        <f>Table1[[#This Row],[Quantity]]*Table1[[#This Row],[Negotiated_Price]]</f>
        <v>23005.38</v>
      </c>
      <c r="L517" s="4">
        <f>Table1[[#This Row],[Quantity]]*Table1[[#This Row],[Unit_Price]]</f>
        <v>24152.45</v>
      </c>
      <c r="M517" s="4">
        <f>Table1[[#This Row],[Unit_Price]]-Table1[[#This Row],[Negotiated_Price]]</f>
        <v>2.509999999999998</v>
      </c>
      <c r="N517" s="3">
        <f>(Table1[[#This Row],[Unit_Price]]-Table1[[#This Row],[Negotiated_Price]])/Table1[[#This Row],[Unit_Price]]</f>
        <v>4.7492904446546795E-2</v>
      </c>
      <c r="O517">
        <v>16</v>
      </c>
      <c r="P517" t="s">
        <v>15</v>
      </c>
      <c r="Q517">
        <f>IF(Table1[[#This Row],[Compliance]]="Yes", 1, 0)</f>
        <v>1</v>
      </c>
    </row>
    <row r="518" spans="1:17" x14ac:dyDescent="0.35">
      <c r="A518" t="s">
        <v>543</v>
      </c>
      <c r="B518" t="s">
        <v>23</v>
      </c>
      <c r="C518" s="1">
        <v>44756</v>
      </c>
      <c r="D518" s="1">
        <v>44769</v>
      </c>
      <c r="E518" s="1">
        <f>SUM(Table1[[#This Row],[Delivery_Date]]-Table1[[#This Row],[Order_Date]])</f>
        <v>13</v>
      </c>
      <c r="F518" t="s">
        <v>13</v>
      </c>
      <c r="G518" t="s">
        <v>14</v>
      </c>
      <c r="H518">
        <v>574</v>
      </c>
      <c r="I518" s="4">
        <v>12.38</v>
      </c>
      <c r="J518" s="4">
        <v>11.47</v>
      </c>
      <c r="K518" s="4">
        <f>Table1[[#This Row],[Quantity]]*Table1[[#This Row],[Negotiated_Price]]</f>
        <v>6583.7800000000007</v>
      </c>
      <c r="L518" s="4">
        <f>Table1[[#This Row],[Quantity]]*Table1[[#This Row],[Unit_Price]]</f>
        <v>7106.1200000000008</v>
      </c>
      <c r="M518" s="4">
        <f>Table1[[#This Row],[Unit_Price]]-Table1[[#This Row],[Negotiated_Price]]</f>
        <v>0.91000000000000014</v>
      </c>
      <c r="N518" s="3">
        <f>(Table1[[#This Row],[Unit_Price]]-Table1[[#This Row],[Negotiated_Price]])/Table1[[#This Row],[Unit_Price]]</f>
        <v>7.3505654281098551E-2</v>
      </c>
      <c r="P518" t="s">
        <v>27</v>
      </c>
      <c r="Q518">
        <f>IF(Table1[[#This Row],[Compliance]]="Yes", 1, 0)</f>
        <v>0</v>
      </c>
    </row>
    <row r="519" spans="1:17" x14ac:dyDescent="0.35">
      <c r="A519" t="s">
        <v>544</v>
      </c>
      <c r="B519" t="s">
        <v>29</v>
      </c>
      <c r="C519" s="1">
        <v>44822</v>
      </c>
      <c r="D519" s="1">
        <v>44824</v>
      </c>
      <c r="E519" s="1">
        <f>SUM(Table1[[#This Row],[Delivery_Date]]-Table1[[#This Row],[Order_Date]])</f>
        <v>2</v>
      </c>
      <c r="F519" t="s">
        <v>13</v>
      </c>
      <c r="G519" t="s">
        <v>18</v>
      </c>
      <c r="H519">
        <v>877</v>
      </c>
      <c r="I519" s="4">
        <v>35.549999999999997</v>
      </c>
      <c r="J519" s="4">
        <v>34.69</v>
      </c>
      <c r="K519" s="4">
        <f>Table1[[#This Row],[Quantity]]*Table1[[#This Row],[Negotiated_Price]]</f>
        <v>30423.129999999997</v>
      </c>
      <c r="L519" s="4">
        <f>Table1[[#This Row],[Quantity]]*Table1[[#This Row],[Unit_Price]]</f>
        <v>31177.35</v>
      </c>
      <c r="M519" s="4">
        <f>Table1[[#This Row],[Unit_Price]]-Table1[[#This Row],[Negotiated_Price]]</f>
        <v>0.85999999999999943</v>
      </c>
      <c r="N519" s="3">
        <f>(Table1[[#This Row],[Unit_Price]]-Table1[[#This Row],[Negotiated_Price]])/Table1[[#This Row],[Unit_Price]]</f>
        <v>2.4191279887482407E-2</v>
      </c>
      <c r="O519">
        <v>24</v>
      </c>
      <c r="P519" t="s">
        <v>15</v>
      </c>
      <c r="Q519">
        <f>IF(Table1[[#This Row],[Compliance]]="Yes", 1, 0)</f>
        <v>1</v>
      </c>
    </row>
    <row r="520" spans="1:17" x14ac:dyDescent="0.35">
      <c r="A520" t="s">
        <v>545</v>
      </c>
      <c r="B520" t="s">
        <v>12</v>
      </c>
      <c r="C520" s="1">
        <v>44607</v>
      </c>
      <c r="D520" s="1">
        <v>44619</v>
      </c>
      <c r="E520" s="1">
        <f>SUM(Table1[[#This Row],[Delivery_Date]]-Table1[[#This Row],[Order_Date]])</f>
        <v>12</v>
      </c>
      <c r="F520" t="s">
        <v>21</v>
      </c>
      <c r="G520" t="s">
        <v>18</v>
      </c>
      <c r="H520">
        <v>1579</v>
      </c>
      <c r="I520" s="4">
        <v>59.04</v>
      </c>
      <c r="J520" s="4">
        <v>50.95</v>
      </c>
      <c r="K520" s="4">
        <f>Table1[[#This Row],[Quantity]]*Table1[[#This Row],[Negotiated_Price]]</f>
        <v>80450.05</v>
      </c>
      <c r="L520" s="4">
        <f>Table1[[#This Row],[Quantity]]*Table1[[#This Row],[Unit_Price]]</f>
        <v>93224.16</v>
      </c>
      <c r="M520" s="4">
        <f>Table1[[#This Row],[Unit_Price]]-Table1[[#This Row],[Negotiated_Price]]</f>
        <v>8.0899999999999963</v>
      </c>
      <c r="N520" s="3">
        <f>(Table1[[#This Row],[Unit_Price]]-Table1[[#This Row],[Negotiated_Price]])/Table1[[#This Row],[Unit_Price]]</f>
        <v>0.13702574525745251</v>
      </c>
      <c r="O520">
        <v>29</v>
      </c>
      <c r="P520" t="s">
        <v>15</v>
      </c>
      <c r="Q520">
        <f>IF(Table1[[#This Row],[Compliance]]="Yes", 1, 0)</f>
        <v>1</v>
      </c>
    </row>
    <row r="521" spans="1:17" x14ac:dyDescent="0.35">
      <c r="A521" t="s">
        <v>546</v>
      </c>
      <c r="B521" t="s">
        <v>17</v>
      </c>
      <c r="C521" s="1">
        <v>45287</v>
      </c>
      <c r="D521" s="1">
        <v>45288</v>
      </c>
      <c r="E521" s="1">
        <f>SUM(Table1[[#This Row],[Delivery_Date]]-Table1[[#This Row],[Order_Date]])</f>
        <v>1</v>
      </c>
      <c r="F521" t="s">
        <v>26</v>
      </c>
      <c r="G521" t="s">
        <v>18</v>
      </c>
      <c r="H521">
        <v>952</v>
      </c>
      <c r="I521" s="4">
        <v>74.72</v>
      </c>
      <c r="J521" s="4">
        <v>69.73</v>
      </c>
      <c r="K521" s="4">
        <f>Table1[[#This Row],[Quantity]]*Table1[[#This Row],[Negotiated_Price]]</f>
        <v>66382.960000000006</v>
      </c>
      <c r="L521" s="4">
        <f>Table1[[#This Row],[Quantity]]*Table1[[#This Row],[Unit_Price]]</f>
        <v>71133.440000000002</v>
      </c>
      <c r="M521" s="4">
        <f>Table1[[#This Row],[Unit_Price]]-Table1[[#This Row],[Negotiated_Price]]</f>
        <v>4.9899999999999949</v>
      </c>
      <c r="N521" s="3">
        <f>(Table1[[#This Row],[Unit_Price]]-Table1[[#This Row],[Negotiated_Price]])/Table1[[#This Row],[Unit_Price]]</f>
        <v>6.6782655246252612E-2</v>
      </c>
      <c r="P521" t="s">
        <v>15</v>
      </c>
      <c r="Q521">
        <f>IF(Table1[[#This Row],[Compliance]]="Yes", 1, 0)</f>
        <v>1</v>
      </c>
    </row>
    <row r="522" spans="1:17" x14ac:dyDescent="0.35">
      <c r="A522" t="s">
        <v>547</v>
      </c>
      <c r="B522" t="s">
        <v>23</v>
      </c>
      <c r="C522" s="1">
        <v>45008</v>
      </c>
      <c r="D522" s="1">
        <v>45011</v>
      </c>
      <c r="E522" s="1">
        <f>SUM(Table1[[#This Row],[Delivery_Date]]-Table1[[#This Row],[Order_Date]])</f>
        <v>3</v>
      </c>
      <c r="F522" t="s">
        <v>26</v>
      </c>
      <c r="G522" t="s">
        <v>35</v>
      </c>
      <c r="H522">
        <v>1898</v>
      </c>
      <c r="I522" s="4">
        <v>35.53</v>
      </c>
      <c r="J522" s="4">
        <v>33.25</v>
      </c>
      <c r="K522" s="4">
        <f>Table1[[#This Row],[Quantity]]*Table1[[#This Row],[Negotiated_Price]]</f>
        <v>63108.5</v>
      </c>
      <c r="L522" s="4">
        <f>Table1[[#This Row],[Quantity]]*Table1[[#This Row],[Unit_Price]]</f>
        <v>67435.94</v>
      </c>
      <c r="M522" s="4">
        <f>Table1[[#This Row],[Unit_Price]]-Table1[[#This Row],[Negotiated_Price]]</f>
        <v>2.2800000000000011</v>
      </c>
      <c r="N522" s="3">
        <f>(Table1[[#This Row],[Unit_Price]]-Table1[[#This Row],[Negotiated_Price]])/Table1[[#This Row],[Unit_Price]]</f>
        <v>6.4171122994652441E-2</v>
      </c>
      <c r="O522">
        <v>187</v>
      </c>
      <c r="P522" t="s">
        <v>15</v>
      </c>
      <c r="Q522">
        <f>IF(Table1[[#This Row],[Compliance]]="Yes", 1, 0)</f>
        <v>1</v>
      </c>
    </row>
    <row r="523" spans="1:17" x14ac:dyDescent="0.35">
      <c r="A523" t="s">
        <v>548</v>
      </c>
      <c r="B523" t="s">
        <v>17</v>
      </c>
      <c r="C523" s="1">
        <v>44563</v>
      </c>
      <c r="D523" s="1">
        <v>44567</v>
      </c>
      <c r="E523" s="1">
        <f>SUM(Table1[[#This Row],[Delivery_Date]]-Table1[[#This Row],[Order_Date]])</f>
        <v>4</v>
      </c>
      <c r="F523" t="s">
        <v>24</v>
      </c>
      <c r="G523" t="s">
        <v>18</v>
      </c>
      <c r="H523">
        <v>85</v>
      </c>
      <c r="I523" s="4">
        <v>22.54</v>
      </c>
      <c r="J523" s="4">
        <v>20.68</v>
      </c>
      <c r="K523" s="4">
        <f>Table1[[#This Row],[Quantity]]*Table1[[#This Row],[Negotiated_Price]]</f>
        <v>1757.8</v>
      </c>
      <c r="L523" s="4">
        <f>Table1[[#This Row],[Quantity]]*Table1[[#This Row],[Unit_Price]]</f>
        <v>1915.8999999999999</v>
      </c>
      <c r="M523" s="4">
        <f>Table1[[#This Row],[Unit_Price]]-Table1[[#This Row],[Negotiated_Price]]</f>
        <v>1.8599999999999994</v>
      </c>
      <c r="N523" s="3">
        <f>(Table1[[#This Row],[Unit_Price]]-Table1[[#This Row],[Negotiated_Price]])/Table1[[#This Row],[Unit_Price]]</f>
        <v>8.2519964507542121E-2</v>
      </c>
      <c r="O523">
        <v>6</v>
      </c>
      <c r="P523" t="s">
        <v>15</v>
      </c>
      <c r="Q523">
        <f>IF(Table1[[#This Row],[Compliance]]="Yes", 1, 0)</f>
        <v>1</v>
      </c>
    </row>
    <row r="524" spans="1:17" x14ac:dyDescent="0.35">
      <c r="A524" t="s">
        <v>549</v>
      </c>
      <c r="B524" t="s">
        <v>20</v>
      </c>
      <c r="C524" s="1">
        <v>45094</v>
      </c>
      <c r="D524" s="1">
        <v>45105</v>
      </c>
      <c r="E524" s="1">
        <f>SUM(Table1[[#This Row],[Delivery_Date]]-Table1[[#This Row],[Order_Date]])</f>
        <v>11</v>
      </c>
      <c r="F524" t="s">
        <v>24</v>
      </c>
      <c r="G524" t="s">
        <v>35</v>
      </c>
      <c r="H524">
        <v>734</v>
      </c>
      <c r="I524" s="4">
        <v>92.38</v>
      </c>
      <c r="J524" s="4">
        <v>78.92</v>
      </c>
      <c r="K524" s="4">
        <f>Table1[[#This Row],[Quantity]]*Table1[[#This Row],[Negotiated_Price]]</f>
        <v>57927.28</v>
      </c>
      <c r="L524" s="4">
        <f>Table1[[#This Row],[Quantity]]*Table1[[#This Row],[Unit_Price]]</f>
        <v>67806.92</v>
      </c>
      <c r="M524" s="4">
        <f>Table1[[#This Row],[Unit_Price]]-Table1[[#This Row],[Negotiated_Price]]</f>
        <v>13.459999999999994</v>
      </c>
      <c r="N524" s="3">
        <f>(Table1[[#This Row],[Unit_Price]]-Table1[[#This Row],[Negotiated_Price]])/Table1[[#This Row],[Unit_Price]]</f>
        <v>0.14570253301580421</v>
      </c>
      <c r="O524">
        <v>34</v>
      </c>
      <c r="P524" t="s">
        <v>27</v>
      </c>
      <c r="Q524">
        <f>IF(Table1[[#This Row],[Compliance]]="Yes", 1, 0)</f>
        <v>0</v>
      </c>
    </row>
    <row r="525" spans="1:17" x14ac:dyDescent="0.35">
      <c r="A525" t="s">
        <v>550</v>
      </c>
      <c r="B525" t="s">
        <v>12</v>
      </c>
      <c r="C525" s="1">
        <v>45113</v>
      </c>
      <c r="D525" s="1">
        <v>45125</v>
      </c>
      <c r="E525" s="1">
        <f>SUM(Table1[[#This Row],[Delivery_Date]]-Table1[[#This Row],[Order_Date]])</f>
        <v>12</v>
      </c>
      <c r="F525" t="s">
        <v>13</v>
      </c>
      <c r="G525" t="s">
        <v>18</v>
      </c>
      <c r="H525">
        <v>69</v>
      </c>
      <c r="I525" s="4">
        <v>107.47</v>
      </c>
      <c r="J525" s="4">
        <v>105.53</v>
      </c>
      <c r="K525" s="4">
        <f>Table1[[#This Row],[Quantity]]*Table1[[#This Row],[Negotiated_Price]]</f>
        <v>7281.57</v>
      </c>
      <c r="L525" s="4">
        <f>Table1[[#This Row],[Quantity]]*Table1[[#This Row],[Unit_Price]]</f>
        <v>7415.43</v>
      </c>
      <c r="M525" s="4">
        <f>Table1[[#This Row],[Unit_Price]]-Table1[[#This Row],[Negotiated_Price]]</f>
        <v>1.9399999999999977</v>
      </c>
      <c r="N525" s="3">
        <f>(Table1[[#This Row],[Unit_Price]]-Table1[[#This Row],[Negotiated_Price]])/Table1[[#This Row],[Unit_Price]]</f>
        <v>1.805154926956358E-2</v>
      </c>
      <c r="P525" t="s">
        <v>15</v>
      </c>
      <c r="Q525">
        <f>IF(Table1[[#This Row],[Compliance]]="Yes", 1, 0)</f>
        <v>1</v>
      </c>
    </row>
    <row r="526" spans="1:17" x14ac:dyDescent="0.35">
      <c r="A526" t="s">
        <v>551</v>
      </c>
      <c r="B526" t="s">
        <v>17</v>
      </c>
      <c r="C526" s="1">
        <v>45265</v>
      </c>
      <c r="D526" s="1">
        <v>45271</v>
      </c>
      <c r="E526" s="1">
        <f>SUM(Table1[[#This Row],[Delivery_Date]]-Table1[[#This Row],[Order_Date]])</f>
        <v>6</v>
      </c>
      <c r="F526" t="s">
        <v>24</v>
      </c>
      <c r="G526" t="s">
        <v>18</v>
      </c>
      <c r="H526">
        <v>370</v>
      </c>
      <c r="I526" s="4">
        <v>63.9</v>
      </c>
      <c r="J526" s="4">
        <v>55.79</v>
      </c>
      <c r="K526" s="4">
        <f>Table1[[#This Row],[Quantity]]*Table1[[#This Row],[Negotiated_Price]]</f>
        <v>20642.3</v>
      </c>
      <c r="L526" s="4">
        <f>Table1[[#This Row],[Quantity]]*Table1[[#This Row],[Unit_Price]]</f>
        <v>23643</v>
      </c>
      <c r="M526" s="4">
        <f>Table1[[#This Row],[Unit_Price]]-Table1[[#This Row],[Negotiated_Price]]</f>
        <v>8.11</v>
      </c>
      <c r="N526" s="3">
        <f>(Table1[[#This Row],[Unit_Price]]-Table1[[#This Row],[Negotiated_Price]])/Table1[[#This Row],[Unit_Price]]</f>
        <v>0.12691705790297339</v>
      </c>
      <c r="O526">
        <v>59</v>
      </c>
      <c r="P526" t="s">
        <v>15</v>
      </c>
      <c r="Q526">
        <f>IF(Table1[[#This Row],[Compliance]]="Yes", 1, 0)</f>
        <v>1</v>
      </c>
    </row>
    <row r="527" spans="1:17" x14ac:dyDescent="0.35">
      <c r="A527" t="s">
        <v>552</v>
      </c>
      <c r="B527" t="s">
        <v>17</v>
      </c>
      <c r="C527" s="1">
        <v>45248</v>
      </c>
      <c r="D527" s="1">
        <v>45263</v>
      </c>
      <c r="E527" s="1">
        <f>SUM(Table1[[#This Row],[Delivery_Date]]-Table1[[#This Row],[Order_Date]])</f>
        <v>15</v>
      </c>
      <c r="F527" t="s">
        <v>21</v>
      </c>
      <c r="G527" t="s">
        <v>18</v>
      </c>
      <c r="H527">
        <v>1849</v>
      </c>
      <c r="I527" s="4">
        <v>28.25</v>
      </c>
      <c r="J527" s="4">
        <v>27.53</v>
      </c>
      <c r="K527" s="4">
        <f>Table1[[#This Row],[Quantity]]*Table1[[#This Row],[Negotiated_Price]]</f>
        <v>50902.97</v>
      </c>
      <c r="L527" s="4">
        <f>Table1[[#This Row],[Quantity]]*Table1[[#This Row],[Unit_Price]]</f>
        <v>52234.25</v>
      </c>
      <c r="M527" s="4">
        <f>Table1[[#This Row],[Unit_Price]]-Table1[[#This Row],[Negotiated_Price]]</f>
        <v>0.71999999999999886</v>
      </c>
      <c r="N527" s="3">
        <f>(Table1[[#This Row],[Unit_Price]]-Table1[[#This Row],[Negotiated_Price]])/Table1[[#This Row],[Unit_Price]]</f>
        <v>2.5486725663716774E-2</v>
      </c>
      <c r="O527">
        <v>271</v>
      </c>
      <c r="P527" t="s">
        <v>15</v>
      </c>
      <c r="Q527">
        <f>IF(Table1[[#This Row],[Compliance]]="Yes", 1, 0)</f>
        <v>1</v>
      </c>
    </row>
    <row r="528" spans="1:17" hidden="1" x14ac:dyDescent="0.35">
      <c r="A528" t="s">
        <v>553</v>
      </c>
      <c r="B528" t="s">
        <v>23</v>
      </c>
      <c r="C528" s="1">
        <v>44763</v>
      </c>
      <c r="E528" s="1">
        <f>SUM(Table1[[#This Row],[Delivery_Date]]-Table1[[#This Row],[Order_Date]])</f>
        <v>-44763</v>
      </c>
      <c r="F528" t="s">
        <v>24</v>
      </c>
      <c r="G528" t="s">
        <v>18</v>
      </c>
      <c r="H528">
        <v>561</v>
      </c>
      <c r="I528">
        <v>35.54</v>
      </c>
      <c r="J528">
        <v>30.99</v>
      </c>
      <c r="K528">
        <f>Table1[[#This Row],[Quantity]]*Table1[[#This Row],[Negotiated_Price]]</f>
        <v>17385.39</v>
      </c>
      <c r="L528" s="5">
        <f>Table1[[#This Row],[Quantity]]*Table1[[#This Row],[Unit_Price]]</f>
        <v>19937.939999999999</v>
      </c>
      <c r="M528">
        <f>Table1[[#This Row],[Unit_Price]]-Table1[[#This Row],[Negotiated_Price]]</f>
        <v>4.5500000000000007</v>
      </c>
      <c r="N528" s="2">
        <f>(Table1[[#This Row],[Unit_Price]]-Table1[[#This Row],[Negotiated_Price]])/Table1[[#This Row],[Unit_Price]]</f>
        <v>0.1280247608328644</v>
      </c>
      <c r="O528">
        <v>68</v>
      </c>
      <c r="P528" t="s">
        <v>27</v>
      </c>
      <c r="Q528">
        <f>IF(Table1[[#This Row],[Compliance]]="Yes", 1, 0)</f>
        <v>0</v>
      </c>
    </row>
    <row r="529" spans="1:17" x14ac:dyDescent="0.35">
      <c r="A529" t="s">
        <v>554</v>
      </c>
      <c r="B529" t="s">
        <v>20</v>
      </c>
      <c r="C529" s="1">
        <v>44934</v>
      </c>
      <c r="D529" s="1">
        <v>44940</v>
      </c>
      <c r="E529" s="1">
        <f>SUM(Table1[[#This Row],[Delivery_Date]]-Table1[[#This Row],[Order_Date]])</f>
        <v>6</v>
      </c>
      <c r="F529" t="s">
        <v>39</v>
      </c>
      <c r="G529" t="s">
        <v>18</v>
      </c>
      <c r="H529">
        <v>449</v>
      </c>
      <c r="I529" s="4">
        <v>12.35</v>
      </c>
      <c r="J529" s="4">
        <v>10.67</v>
      </c>
      <c r="K529" s="4">
        <f>Table1[[#This Row],[Quantity]]*Table1[[#This Row],[Negotiated_Price]]</f>
        <v>4790.83</v>
      </c>
      <c r="L529" s="4">
        <f>Table1[[#This Row],[Quantity]]*Table1[[#This Row],[Unit_Price]]</f>
        <v>5545.15</v>
      </c>
      <c r="M529" s="4">
        <f>Table1[[#This Row],[Unit_Price]]-Table1[[#This Row],[Negotiated_Price]]</f>
        <v>1.6799999999999997</v>
      </c>
      <c r="N529" s="3">
        <f>(Table1[[#This Row],[Unit_Price]]-Table1[[#This Row],[Negotiated_Price]])/Table1[[#This Row],[Unit_Price]]</f>
        <v>0.13603238866396758</v>
      </c>
      <c r="O529">
        <v>29</v>
      </c>
      <c r="P529" t="s">
        <v>15</v>
      </c>
      <c r="Q529">
        <f>IF(Table1[[#This Row],[Compliance]]="Yes", 1, 0)</f>
        <v>1</v>
      </c>
    </row>
    <row r="530" spans="1:17" x14ac:dyDescent="0.35">
      <c r="A530" t="s">
        <v>555</v>
      </c>
      <c r="B530" t="s">
        <v>23</v>
      </c>
      <c r="C530" s="1">
        <v>45003</v>
      </c>
      <c r="D530" s="1">
        <v>45006</v>
      </c>
      <c r="E530" s="1">
        <f>SUM(Table1[[#This Row],[Delivery_Date]]-Table1[[#This Row],[Order_Date]])</f>
        <v>3</v>
      </c>
      <c r="F530" t="s">
        <v>13</v>
      </c>
      <c r="G530" t="s">
        <v>18</v>
      </c>
      <c r="H530">
        <v>703</v>
      </c>
      <c r="I530" s="4">
        <v>98.75</v>
      </c>
      <c r="J530" s="4">
        <v>86.78</v>
      </c>
      <c r="K530" s="4">
        <f>Table1[[#This Row],[Quantity]]*Table1[[#This Row],[Negotiated_Price]]</f>
        <v>61006.340000000004</v>
      </c>
      <c r="L530" s="4">
        <f>Table1[[#This Row],[Quantity]]*Table1[[#This Row],[Unit_Price]]</f>
        <v>69421.25</v>
      </c>
      <c r="M530" s="4">
        <f>Table1[[#This Row],[Unit_Price]]-Table1[[#This Row],[Negotiated_Price]]</f>
        <v>11.969999999999999</v>
      </c>
      <c r="N530" s="3">
        <f>(Table1[[#This Row],[Unit_Price]]-Table1[[#This Row],[Negotiated_Price]])/Table1[[#This Row],[Unit_Price]]</f>
        <v>0.12121518987341771</v>
      </c>
      <c r="O530">
        <v>59</v>
      </c>
      <c r="P530" t="s">
        <v>15</v>
      </c>
      <c r="Q530">
        <f>IF(Table1[[#This Row],[Compliance]]="Yes", 1, 0)</f>
        <v>1</v>
      </c>
    </row>
    <row r="531" spans="1:17" x14ac:dyDescent="0.35">
      <c r="A531" t="s">
        <v>556</v>
      </c>
      <c r="B531" t="s">
        <v>20</v>
      </c>
      <c r="C531" s="1">
        <v>44633</v>
      </c>
      <c r="D531" s="1">
        <v>44648</v>
      </c>
      <c r="E531" s="1">
        <f>SUM(Table1[[#This Row],[Delivery_Date]]-Table1[[#This Row],[Order_Date]])</f>
        <v>15</v>
      </c>
      <c r="F531" t="s">
        <v>39</v>
      </c>
      <c r="G531" t="s">
        <v>18</v>
      </c>
      <c r="H531">
        <v>1021</v>
      </c>
      <c r="I531" s="4">
        <v>20.8</v>
      </c>
      <c r="J531" s="4">
        <v>18.23</v>
      </c>
      <c r="K531" s="4">
        <f>Table1[[#This Row],[Quantity]]*Table1[[#This Row],[Negotiated_Price]]</f>
        <v>18612.830000000002</v>
      </c>
      <c r="L531" s="4">
        <f>Table1[[#This Row],[Quantity]]*Table1[[#This Row],[Unit_Price]]</f>
        <v>21236.799999999999</v>
      </c>
      <c r="M531" s="4">
        <f>Table1[[#This Row],[Unit_Price]]-Table1[[#This Row],[Negotiated_Price]]</f>
        <v>2.5700000000000003</v>
      </c>
      <c r="N531" s="3">
        <f>(Table1[[#This Row],[Unit_Price]]-Table1[[#This Row],[Negotiated_Price]])/Table1[[#This Row],[Unit_Price]]</f>
        <v>0.12355769230769231</v>
      </c>
      <c r="O531">
        <v>37</v>
      </c>
      <c r="P531" t="s">
        <v>15</v>
      </c>
      <c r="Q531">
        <f>IF(Table1[[#This Row],[Compliance]]="Yes", 1, 0)</f>
        <v>1</v>
      </c>
    </row>
    <row r="532" spans="1:17" x14ac:dyDescent="0.35">
      <c r="A532" t="s">
        <v>557</v>
      </c>
      <c r="B532" t="s">
        <v>23</v>
      </c>
      <c r="C532" s="1">
        <v>45242</v>
      </c>
      <c r="D532" s="1">
        <v>45249</v>
      </c>
      <c r="E532" s="1">
        <f>SUM(Table1[[#This Row],[Delivery_Date]]-Table1[[#This Row],[Order_Date]])</f>
        <v>7</v>
      </c>
      <c r="F532" t="s">
        <v>13</v>
      </c>
      <c r="G532" t="s">
        <v>18</v>
      </c>
      <c r="H532">
        <v>1956</v>
      </c>
      <c r="I532" s="4">
        <v>68.69</v>
      </c>
      <c r="J532" s="4">
        <v>65.09</v>
      </c>
      <c r="K532" s="4">
        <f>Table1[[#This Row],[Quantity]]*Table1[[#This Row],[Negotiated_Price]]</f>
        <v>127316.04000000001</v>
      </c>
      <c r="L532" s="4">
        <f>Table1[[#This Row],[Quantity]]*Table1[[#This Row],[Unit_Price]]</f>
        <v>134357.63999999998</v>
      </c>
      <c r="M532" s="4">
        <f>Table1[[#This Row],[Unit_Price]]-Table1[[#This Row],[Negotiated_Price]]</f>
        <v>3.5999999999999943</v>
      </c>
      <c r="N532" s="3">
        <f>(Table1[[#This Row],[Unit_Price]]-Table1[[#This Row],[Negotiated_Price]])/Table1[[#This Row],[Unit_Price]]</f>
        <v>5.2409375454942411E-2</v>
      </c>
      <c r="P532" t="s">
        <v>15</v>
      </c>
      <c r="Q532">
        <f>IF(Table1[[#This Row],[Compliance]]="Yes", 1, 0)</f>
        <v>1</v>
      </c>
    </row>
    <row r="533" spans="1:17" x14ac:dyDescent="0.35">
      <c r="A533" t="s">
        <v>558</v>
      </c>
      <c r="B533" t="s">
        <v>17</v>
      </c>
      <c r="C533" s="1">
        <v>44900</v>
      </c>
      <c r="D533" s="1">
        <v>44907</v>
      </c>
      <c r="E533" s="1">
        <f>SUM(Table1[[#This Row],[Delivery_Date]]-Table1[[#This Row],[Order_Date]])</f>
        <v>7</v>
      </c>
      <c r="F533" t="s">
        <v>13</v>
      </c>
      <c r="G533" t="s">
        <v>33</v>
      </c>
      <c r="H533">
        <v>520</v>
      </c>
      <c r="I533" s="4">
        <v>36.57</v>
      </c>
      <c r="J533" s="4">
        <v>34.78</v>
      </c>
      <c r="K533" s="4">
        <f>Table1[[#This Row],[Quantity]]*Table1[[#This Row],[Negotiated_Price]]</f>
        <v>18085.600000000002</v>
      </c>
      <c r="L533" s="4">
        <f>Table1[[#This Row],[Quantity]]*Table1[[#This Row],[Unit_Price]]</f>
        <v>19016.400000000001</v>
      </c>
      <c r="M533" s="4">
        <f>Table1[[#This Row],[Unit_Price]]-Table1[[#This Row],[Negotiated_Price]]</f>
        <v>1.7899999999999991</v>
      </c>
      <c r="N533" s="3">
        <f>(Table1[[#This Row],[Unit_Price]]-Table1[[#This Row],[Negotiated_Price]])/Table1[[#This Row],[Unit_Price]]</f>
        <v>4.8947224500957044E-2</v>
      </c>
      <c r="O533">
        <v>67</v>
      </c>
      <c r="P533" t="s">
        <v>27</v>
      </c>
      <c r="Q533">
        <f>IF(Table1[[#This Row],[Compliance]]="Yes", 1, 0)</f>
        <v>0</v>
      </c>
    </row>
    <row r="534" spans="1:17" x14ac:dyDescent="0.35">
      <c r="A534" t="s">
        <v>559</v>
      </c>
      <c r="B534" t="s">
        <v>17</v>
      </c>
      <c r="C534" s="1">
        <v>45200</v>
      </c>
      <c r="D534" s="1">
        <v>45211</v>
      </c>
      <c r="E534" s="1">
        <f>SUM(Table1[[#This Row],[Delivery_Date]]-Table1[[#This Row],[Order_Date]])</f>
        <v>11</v>
      </c>
      <c r="F534" t="s">
        <v>21</v>
      </c>
      <c r="G534" t="s">
        <v>18</v>
      </c>
      <c r="H534">
        <v>1216</v>
      </c>
      <c r="I534" s="4">
        <v>66.16</v>
      </c>
      <c r="J534" s="4">
        <v>63</v>
      </c>
      <c r="K534" s="4">
        <f>Table1[[#This Row],[Quantity]]*Table1[[#This Row],[Negotiated_Price]]</f>
        <v>76608</v>
      </c>
      <c r="L534" s="4">
        <f>Table1[[#This Row],[Quantity]]*Table1[[#This Row],[Unit_Price]]</f>
        <v>80450.559999999998</v>
      </c>
      <c r="M534" s="4">
        <f>Table1[[#This Row],[Unit_Price]]-Table1[[#This Row],[Negotiated_Price]]</f>
        <v>3.1599999999999966</v>
      </c>
      <c r="N534" s="3">
        <f>(Table1[[#This Row],[Unit_Price]]-Table1[[#This Row],[Negotiated_Price]])/Table1[[#This Row],[Unit_Price]]</f>
        <v>4.7762998790810106E-2</v>
      </c>
      <c r="O534">
        <v>179</v>
      </c>
      <c r="P534" t="s">
        <v>27</v>
      </c>
      <c r="Q534">
        <f>IF(Table1[[#This Row],[Compliance]]="Yes", 1, 0)</f>
        <v>0</v>
      </c>
    </row>
    <row r="535" spans="1:17" hidden="1" x14ac:dyDescent="0.35">
      <c r="A535" t="s">
        <v>560</v>
      </c>
      <c r="B535" t="s">
        <v>12</v>
      </c>
      <c r="C535" s="1">
        <v>44883</v>
      </c>
      <c r="E535" s="1">
        <f>SUM(Table1[[#This Row],[Delivery_Date]]-Table1[[#This Row],[Order_Date]])</f>
        <v>-44883</v>
      </c>
      <c r="F535" t="s">
        <v>26</v>
      </c>
      <c r="G535" t="s">
        <v>18</v>
      </c>
      <c r="H535">
        <v>1165</v>
      </c>
      <c r="I535">
        <v>72.06</v>
      </c>
      <c r="J535">
        <v>63.93</v>
      </c>
      <c r="K535">
        <f>Table1[[#This Row],[Quantity]]*Table1[[#This Row],[Negotiated_Price]]</f>
        <v>74478.45</v>
      </c>
      <c r="L535" s="5">
        <f>Table1[[#This Row],[Quantity]]*Table1[[#This Row],[Unit_Price]]</f>
        <v>83949.900000000009</v>
      </c>
      <c r="M535">
        <f>Table1[[#This Row],[Unit_Price]]-Table1[[#This Row],[Negotiated_Price]]</f>
        <v>8.1300000000000026</v>
      </c>
      <c r="N535" s="2">
        <f>(Table1[[#This Row],[Unit_Price]]-Table1[[#This Row],[Negotiated_Price]])/Table1[[#This Row],[Unit_Price]]</f>
        <v>0.11282264779350544</v>
      </c>
      <c r="P535" t="s">
        <v>15</v>
      </c>
      <c r="Q535">
        <f>IF(Table1[[#This Row],[Compliance]]="Yes", 1, 0)</f>
        <v>1</v>
      </c>
    </row>
    <row r="536" spans="1:17" x14ac:dyDescent="0.35">
      <c r="A536" t="s">
        <v>561</v>
      </c>
      <c r="B536" t="s">
        <v>17</v>
      </c>
      <c r="C536" s="1">
        <v>45241</v>
      </c>
      <c r="D536" s="1">
        <v>45259</v>
      </c>
      <c r="E536" s="1">
        <f>SUM(Table1[[#This Row],[Delivery_Date]]-Table1[[#This Row],[Order_Date]])</f>
        <v>18</v>
      </c>
      <c r="F536" t="s">
        <v>24</v>
      </c>
      <c r="G536" t="s">
        <v>35</v>
      </c>
      <c r="H536">
        <v>1427</v>
      </c>
      <c r="I536" s="4">
        <v>93.99</v>
      </c>
      <c r="J536" s="4">
        <v>83.6</v>
      </c>
      <c r="K536" s="4">
        <f>Table1[[#This Row],[Quantity]]*Table1[[#This Row],[Negotiated_Price]]</f>
        <v>119297.2</v>
      </c>
      <c r="L536" s="4">
        <f>Table1[[#This Row],[Quantity]]*Table1[[#This Row],[Unit_Price]]</f>
        <v>134123.72999999998</v>
      </c>
      <c r="M536" s="4">
        <f>Table1[[#This Row],[Unit_Price]]-Table1[[#This Row],[Negotiated_Price]]</f>
        <v>10.39</v>
      </c>
      <c r="N536" s="3">
        <f>(Table1[[#This Row],[Unit_Price]]-Table1[[#This Row],[Negotiated_Price]])/Table1[[#This Row],[Unit_Price]]</f>
        <v>0.11054367485902757</v>
      </c>
      <c r="O536">
        <v>213</v>
      </c>
      <c r="P536" t="s">
        <v>15</v>
      </c>
      <c r="Q536">
        <f>IF(Table1[[#This Row],[Compliance]]="Yes", 1, 0)</f>
        <v>1</v>
      </c>
    </row>
    <row r="537" spans="1:17" x14ac:dyDescent="0.35">
      <c r="A537" t="s">
        <v>562</v>
      </c>
      <c r="B537" t="s">
        <v>29</v>
      </c>
      <c r="C537" s="1">
        <v>44689</v>
      </c>
      <c r="D537" s="1">
        <v>44691</v>
      </c>
      <c r="E537" s="1">
        <f>SUM(Table1[[#This Row],[Delivery_Date]]-Table1[[#This Row],[Order_Date]])</f>
        <v>2</v>
      </c>
      <c r="F537" t="s">
        <v>39</v>
      </c>
      <c r="G537" t="s">
        <v>18</v>
      </c>
      <c r="H537">
        <v>883</v>
      </c>
      <c r="I537" s="4">
        <v>29.15</v>
      </c>
      <c r="J537" s="4">
        <v>25.75</v>
      </c>
      <c r="K537" s="4">
        <f>Table1[[#This Row],[Quantity]]*Table1[[#This Row],[Negotiated_Price]]</f>
        <v>22737.25</v>
      </c>
      <c r="L537" s="4">
        <f>Table1[[#This Row],[Quantity]]*Table1[[#This Row],[Unit_Price]]</f>
        <v>25739.449999999997</v>
      </c>
      <c r="M537" s="4">
        <f>Table1[[#This Row],[Unit_Price]]-Table1[[#This Row],[Negotiated_Price]]</f>
        <v>3.3999999999999986</v>
      </c>
      <c r="N537" s="3">
        <f>(Table1[[#This Row],[Unit_Price]]-Table1[[#This Row],[Negotiated_Price]])/Table1[[#This Row],[Unit_Price]]</f>
        <v>0.1166380789022298</v>
      </c>
      <c r="O537">
        <v>14</v>
      </c>
      <c r="P537" t="s">
        <v>15</v>
      </c>
      <c r="Q537">
        <f>IF(Table1[[#This Row],[Compliance]]="Yes", 1, 0)</f>
        <v>1</v>
      </c>
    </row>
    <row r="538" spans="1:17" x14ac:dyDescent="0.35">
      <c r="A538" t="s">
        <v>563</v>
      </c>
      <c r="B538" t="s">
        <v>17</v>
      </c>
      <c r="C538" s="1">
        <v>44869</v>
      </c>
      <c r="D538" s="1">
        <v>44876</v>
      </c>
      <c r="E538" s="1">
        <f>SUM(Table1[[#This Row],[Delivery_Date]]-Table1[[#This Row],[Order_Date]])</f>
        <v>7</v>
      </c>
      <c r="F538" t="s">
        <v>24</v>
      </c>
      <c r="G538" t="s">
        <v>33</v>
      </c>
      <c r="H538">
        <v>1873</v>
      </c>
      <c r="I538" s="4">
        <v>11.54</v>
      </c>
      <c r="J538" s="4">
        <v>9.89</v>
      </c>
      <c r="K538" s="4">
        <f>Table1[[#This Row],[Quantity]]*Table1[[#This Row],[Negotiated_Price]]</f>
        <v>18523.97</v>
      </c>
      <c r="L538" s="4">
        <f>Table1[[#This Row],[Quantity]]*Table1[[#This Row],[Unit_Price]]</f>
        <v>21614.42</v>
      </c>
      <c r="M538" s="4">
        <f>Table1[[#This Row],[Unit_Price]]-Table1[[#This Row],[Negotiated_Price]]</f>
        <v>1.6499999999999986</v>
      </c>
      <c r="N538" s="3">
        <f>(Table1[[#This Row],[Unit_Price]]-Table1[[#This Row],[Negotiated_Price]])/Table1[[#This Row],[Unit_Price]]</f>
        <v>0.14298093587521651</v>
      </c>
      <c r="O538">
        <v>284</v>
      </c>
      <c r="P538" t="s">
        <v>27</v>
      </c>
      <c r="Q538">
        <f>IF(Table1[[#This Row],[Compliance]]="Yes", 1, 0)</f>
        <v>0</v>
      </c>
    </row>
    <row r="539" spans="1:17" x14ac:dyDescent="0.35">
      <c r="A539" t="s">
        <v>564</v>
      </c>
      <c r="B539" t="s">
        <v>29</v>
      </c>
      <c r="C539" s="1">
        <v>45081</v>
      </c>
      <c r="D539" s="1">
        <v>45083</v>
      </c>
      <c r="E539" s="1">
        <f>SUM(Table1[[#This Row],[Delivery_Date]]-Table1[[#This Row],[Order_Date]])</f>
        <v>2</v>
      </c>
      <c r="F539" t="s">
        <v>13</v>
      </c>
      <c r="G539" t="s">
        <v>18</v>
      </c>
      <c r="H539">
        <v>776</v>
      </c>
      <c r="I539" s="4">
        <v>24.22</v>
      </c>
      <c r="J539" s="4">
        <v>22.53</v>
      </c>
      <c r="K539" s="4">
        <f>Table1[[#This Row],[Quantity]]*Table1[[#This Row],[Negotiated_Price]]</f>
        <v>17483.280000000002</v>
      </c>
      <c r="L539" s="4">
        <f>Table1[[#This Row],[Quantity]]*Table1[[#This Row],[Unit_Price]]</f>
        <v>18794.719999999998</v>
      </c>
      <c r="M539" s="4">
        <f>Table1[[#This Row],[Unit_Price]]-Table1[[#This Row],[Negotiated_Price]]</f>
        <v>1.6899999999999977</v>
      </c>
      <c r="N539" s="3">
        <f>(Table1[[#This Row],[Unit_Price]]-Table1[[#This Row],[Negotiated_Price]])/Table1[[#This Row],[Unit_Price]]</f>
        <v>6.9777043765482979E-2</v>
      </c>
      <c r="O539">
        <v>27</v>
      </c>
      <c r="P539" t="s">
        <v>15</v>
      </c>
      <c r="Q539">
        <f>IF(Table1[[#This Row],[Compliance]]="Yes", 1, 0)</f>
        <v>1</v>
      </c>
    </row>
    <row r="540" spans="1:17" x14ac:dyDescent="0.35">
      <c r="A540" t="s">
        <v>565</v>
      </c>
      <c r="B540" t="s">
        <v>17</v>
      </c>
      <c r="C540" s="1">
        <v>44878</v>
      </c>
      <c r="D540" s="1">
        <v>44889</v>
      </c>
      <c r="E540" s="1">
        <f>SUM(Table1[[#This Row],[Delivery_Date]]-Table1[[#This Row],[Order_Date]])</f>
        <v>11</v>
      </c>
      <c r="F540" t="s">
        <v>39</v>
      </c>
      <c r="G540" t="s">
        <v>18</v>
      </c>
      <c r="H540">
        <v>903</v>
      </c>
      <c r="I540" s="4">
        <v>95.55</v>
      </c>
      <c r="J540" s="4">
        <v>92.45</v>
      </c>
      <c r="K540" s="4">
        <f>Table1[[#This Row],[Quantity]]*Table1[[#This Row],[Negotiated_Price]]</f>
        <v>83482.350000000006</v>
      </c>
      <c r="L540" s="4">
        <f>Table1[[#This Row],[Quantity]]*Table1[[#This Row],[Unit_Price]]</f>
        <v>86281.65</v>
      </c>
      <c r="M540" s="4">
        <f>Table1[[#This Row],[Unit_Price]]-Table1[[#This Row],[Negotiated_Price]]</f>
        <v>3.0999999999999943</v>
      </c>
      <c r="N540" s="3">
        <f>(Table1[[#This Row],[Unit_Price]]-Table1[[#This Row],[Negotiated_Price]])/Table1[[#This Row],[Unit_Price]]</f>
        <v>3.2443746729460959E-2</v>
      </c>
      <c r="O540">
        <v>149</v>
      </c>
      <c r="P540" t="s">
        <v>27</v>
      </c>
      <c r="Q540">
        <f>IF(Table1[[#This Row],[Compliance]]="Yes", 1, 0)</f>
        <v>0</v>
      </c>
    </row>
    <row r="541" spans="1:17" x14ac:dyDescent="0.35">
      <c r="A541" t="s">
        <v>566</v>
      </c>
      <c r="B541" t="s">
        <v>29</v>
      </c>
      <c r="C541" s="1">
        <v>45244</v>
      </c>
      <c r="D541" s="1">
        <v>45256</v>
      </c>
      <c r="E541" s="1">
        <f>SUM(Table1[[#This Row],[Delivery_Date]]-Table1[[#This Row],[Order_Date]])</f>
        <v>12</v>
      </c>
      <c r="F541" t="s">
        <v>39</v>
      </c>
      <c r="G541" t="s">
        <v>18</v>
      </c>
      <c r="H541">
        <v>100</v>
      </c>
      <c r="I541" s="4">
        <v>98.4</v>
      </c>
      <c r="J541" s="4">
        <v>85.76</v>
      </c>
      <c r="K541" s="4">
        <f>Table1[[#This Row],[Quantity]]*Table1[[#This Row],[Negotiated_Price]]</f>
        <v>8576</v>
      </c>
      <c r="L541" s="4">
        <f>Table1[[#This Row],[Quantity]]*Table1[[#This Row],[Unit_Price]]</f>
        <v>9840</v>
      </c>
      <c r="M541" s="4">
        <f>Table1[[#This Row],[Unit_Price]]-Table1[[#This Row],[Negotiated_Price]]</f>
        <v>12.64</v>
      </c>
      <c r="N541" s="3">
        <f>(Table1[[#This Row],[Unit_Price]]-Table1[[#This Row],[Negotiated_Price]])/Table1[[#This Row],[Unit_Price]]</f>
        <v>0.12845528455284552</v>
      </c>
      <c r="O541">
        <v>3</v>
      </c>
      <c r="P541" t="s">
        <v>15</v>
      </c>
      <c r="Q541">
        <f>IF(Table1[[#This Row],[Compliance]]="Yes", 1, 0)</f>
        <v>1</v>
      </c>
    </row>
    <row r="542" spans="1:17" x14ac:dyDescent="0.35">
      <c r="A542" t="s">
        <v>567</v>
      </c>
      <c r="B542" t="s">
        <v>29</v>
      </c>
      <c r="C542" s="1">
        <v>44980</v>
      </c>
      <c r="D542" s="1">
        <v>44993</v>
      </c>
      <c r="E542" s="1">
        <f>SUM(Table1[[#This Row],[Delivery_Date]]-Table1[[#This Row],[Order_Date]])</f>
        <v>13</v>
      </c>
      <c r="F542" t="s">
        <v>13</v>
      </c>
      <c r="G542" t="s">
        <v>18</v>
      </c>
      <c r="H542">
        <v>1738</v>
      </c>
      <c r="I542" s="4">
        <v>67.91</v>
      </c>
      <c r="J542" s="4">
        <v>61.15</v>
      </c>
      <c r="K542" s="4">
        <f>Table1[[#This Row],[Quantity]]*Table1[[#This Row],[Negotiated_Price]]</f>
        <v>106278.7</v>
      </c>
      <c r="L542" s="4">
        <f>Table1[[#This Row],[Quantity]]*Table1[[#This Row],[Unit_Price]]</f>
        <v>118027.57999999999</v>
      </c>
      <c r="M542" s="4">
        <f>Table1[[#This Row],[Unit_Price]]-Table1[[#This Row],[Negotiated_Price]]</f>
        <v>6.759999999999998</v>
      </c>
      <c r="N542" s="3">
        <f>(Table1[[#This Row],[Unit_Price]]-Table1[[#This Row],[Negotiated_Price]])/Table1[[#This Row],[Unit_Price]]</f>
        <v>9.9543513473715192E-2</v>
      </c>
      <c r="P542" t="s">
        <v>15</v>
      </c>
      <c r="Q542">
        <f>IF(Table1[[#This Row],[Compliance]]="Yes", 1, 0)</f>
        <v>1</v>
      </c>
    </row>
    <row r="543" spans="1:17" x14ac:dyDescent="0.35">
      <c r="A543" t="s">
        <v>568</v>
      </c>
      <c r="B543" t="s">
        <v>17</v>
      </c>
      <c r="C543" s="1">
        <v>44896</v>
      </c>
      <c r="D543" s="1">
        <v>44909</v>
      </c>
      <c r="E543" s="1">
        <f>SUM(Table1[[#This Row],[Delivery_Date]]-Table1[[#This Row],[Order_Date]])</f>
        <v>13</v>
      </c>
      <c r="F543" t="s">
        <v>24</v>
      </c>
      <c r="G543" t="s">
        <v>18</v>
      </c>
      <c r="H543">
        <v>1771</v>
      </c>
      <c r="I543" s="4">
        <v>67.569999999999993</v>
      </c>
      <c r="J543" s="4">
        <v>61.48</v>
      </c>
      <c r="K543" s="4">
        <f>Table1[[#This Row],[Quantity]]*Table1[[#This Row],[Negotiated_Price]]</f>
        <v>108881.07999999999</v>
      </c>
      <c r="L543" s="4">
        <f>Table1[[#This Row],[Quantity]]*Table1[[#This Row],[Unit_Price]]</f>
        <v>119666.46999999999</v>
      </c>
      <c r="M543" s="4">
        <f>Table1[[#This Row],[Unit_Price]]-Table1[[#This Row],[Negotiated_Price]]</f>
        <v>6.0899999999999963</v>
      </c>
      <c r="N543" s="3">
        <f>(Table1[[#This Row],[Unit_Price]]-Table1[[#This Row],[Negotiated_Price]])/Table1[[#This Row],[Unit_Price]]</f>
        <v>9.0128755364806815E-2</v>
      </c>
      <c r="O543">
        <v>280</v>
      </c>
      <c r="P543" t="s">
        <v>27</v>
      </c>
      <c r="Q543">
        <f>IF(Table1[[#This Row],[Compliance]]="Yes", 1, 0)</f>
        <v>0</v>
      </c>
    </row>
    <row r="544" spans="1:17" x14ac:dyDescent="0.35">
      <c r="A544" t="s">
        <v>569</v>
      </c>
      <c r="B544" t="s">
        <v>29</v>
      </c>
      <c r="C544" s="1">
        <v>44974</v>
      </c>
      <c r="D544" s="1">
        <v>44980</v>
      </c>
      <c r="E544" s="1">
        <f>SUM(Table1[[#This Row],[Delivery_Date]]-Table1[[#This Row],[Order_Date]])</f>
        <v>6</v>
      </c>
      <c r="F544" t="s">
        <v>39</v>
      </c>
      <c r="G544" t="s">
        <v>18</v>
      </c>
      <c r="H544">
        <v>624</v>
      </c>
      <c r="I544" s="4">
        <v>74.39</v>
      </c>
      <c r="J544" s="4">
        <v>66.3</v>
      </c>
      <c r="K544" s="4">
        <f>Table1[[#This Row],[Quantity]]*Table1[[#This Row],[Negotiated_Price]]</f>
        <v>41371.199999999997</v>
      </c>
      <c r="L544" s="4">
        <f>Table1[[#This Row],[Quantity]]*Table1[[#This Row],[Unit_Price]]</f>
        <v>46419.360000000001</v>
      </c>
      <c r="M544" s="4">
        <f>Table1[[#This Row],[Unit_Price]]-Table1[[#This Row],[Negotiated_Price]]</f>
        <v>8.0900000000000034</v>
      </c>
      <c r="N544" s="3">
        <f>(Table1[[#This Row],[Unit_Price]]-Table1[[#This Row],[Negotiated_Price]])/Table1[[#This Row],[Unit_Price]]</f>
        <v>0.10875117623336475</v>
      </c>
      <c r="O544">
        <v>18</v>
      </c>
      <c r="P544" t="s">
        <v>27</v>
      </c>
      <c r="Q544">
        <f>IF(Table1[[#This Row],[Compliance]]="Yes", 1, 0)</f>
        <v>0</v>
      </c>
    </row>
    <row r="545" spans="1:17" x14ac:dyDescent="0.35">
      <c r="A545" t="s">
        <v>570</v>
      </c>
      <c r="B545" t="s">
        <v>12</v>
      </c>
      <c r="C545" s="1">
        <v>45275</v>
      </c>
      <c r="D545" s="1">
        <v>45291</v>
      </c>
      <c r="E545" s="1">
        <f>SUM(Table1[[#This Row],[Delivery_Date]]-Table1[[#This Row],[Order_Date]])</f>
        <v>16</v>
      </c>
      <c r="F545" t="s">
        <v>24</v>
      </c>
      <c r="G545" t="s">
        <v>33</v>
      </c>
      <c r="H545">
        <v>1263</v>
      </c>
      <c r="I545" s="4">
        <v>28.75</v>
      </c>
      <c r="J545" s="4">
        <v>27.1</v>
      </c>
      <c r="K545" s="4">
        <f>Table1[[#This Row],[Quantity]]*Table1[[#This Row],[Negotiated_Price]]</f>
        <v>34227.300000000003</v>
      </c>
      <c r="L545" s="4">
        <f>Table1[[#This Row],[Quantity]]*Table1[[#This Row],[Unit_Price]]</f>
        <v>36311.25</v>
      </c>
      <c r="M545" s="4">
        <f>Table1[[#This Row],[Unit_Price]]-Table1[[#This Row],[Negotiated_Price]]</f>
        <v>1.6499999999999986</v>
      </c>
      <c r="N545" s="3">
        <f>(Table1[[#This Row],[Unit_Price]]-Table1[[#This Row],[Negotiated_Price]])/Table1[[#This Row],[Unit_Price]]</f>
        <v>5.7391304347826036E-2</v>
      </c>
      <c r="O545">
        <v>26</v>
      </c>
      <c r="P545" t="s">
        <v>15</v>
      </c>
      <c r="Q545">
        <f>IF(Table1[[#This Row],[Compliance]]="Yes", 1, 0)</f>
        <v>1</v>
      </c>
    </row>
    <row r="546" spans="1:17" x14ac:dyDescent="0.35">
      <c r="A546" t="s">
        <v>571</v>
      </c>
      <c r="B546" t="s">
        <v>20</v>
      </c>
      <c r="C546" s="1">
        <v>44864</v>
      </c>
      <c r="D546" s="1">
        <v>44881</v>
      </c>
      <c r="E546" s="1">
        <f>SUM(Table1[[#This Row],[Delivery_Date]]-Table1[[#This Row],[Order_Date]])</f>
        <v>17</v>
      </c>
      <c r="F546" t="s">
        <v>39</v>
      </c>
      <c r="G546" t="s">
        <v>14</v>
      </c>
      <c r="H546">
        <v>1198</v>
      </c>
      <c r="I546" s="4">
        <v>96.45</v>
      </c>
      <c r="J546" s="4">
        <v>90.09</v>
      </c>
      <c r="K546" s="4">
        <f>Table1[[#This Row],[Quantity]]*Table1[[#This Row],[Negotiated_Price]]</f>
        <v>107927.82</v>
      </c>
      <c r="L546" s="4">
        <f>Table1[[#This Row],[Quantity]]*Table1[[#This Row],[Unit_Price]]</f>
        <v>115547.1</v>
      </c>
      <c r="M546" s="4">
        <f>Table1[[#This Row],[Unit_Price]]-Table1[[#This Row],[Negotiated_Price]]</f>
        <v>6.3599999999999994</v>
      </c>
      <c r="N546" s="3">
        <f>(Table1[[#This Row],[Unit_Price]]-Table1[[#This Row],[Negotiated_Price]])/Table1[[#This Row],[Unit_Price]]</f>
        <v>6.5940902021772926E-2</v>
      </c>
      <c r="P546" t="s">
        <v>15</v>
      </c>
      <c r="Q546">
        <f>IF(Table1[[#This Row],[Compliance]]="Yes", 1, 0)</f>
        <v>1</v>
      </c>
    </row>
    <row r="547" spans="1:17" x14ac:dyDescent="0.35">
      <c r="A547" t="s">
        <v>572</v>
      </c>
      <c r="B547" t="s">
        <v>29</v>
      </c>
      <c r="C547" s="1">
        <v>45129</v>
      </c>
      <c r="D547" s="1">
        <v>45132</v>
      </c>
      <c r="E547" s="1">
        <f>SUM(Table1[[#This Row],[Delivery_Date]]-Table1[[#This Row],[Order_Date]])</f>
        <v>3</v>
      </c>
      <c r="F547" t="s">
        <v>26</v>
      </c>
      <c r="G547" t="s">
        <v>18</v>
      </c>
      <c r="H547">
        <v>199</v>
      </c>
      <c r="I547" s="4">
        <v>51.98</v>
      </c>
      <c r="J547" s="4">
        <v>45.64</v>
      </c>
      <c r="K547" s="4">
        <f>Table1[[#This Row],[Quantity]]*Table1[[#This Row],[Negotiated_Price]]</f>
        <v>9082.36</v>
      </c>
      <c r="L547" s="4">
        <f>Table1[[#This Row],[Quantity]]*Table1[[#This Row],[Unit_Price]]</f>
        <v>10344.019999999999</v>
      </c>
      <c r="M547" s="4">
        <f>Table1[[#This Row],[Unit_Price]]-Table1[[#This Row],[Negotiated_Price]]</f>
        <v>6.3399999999999963</v>
      </c>
      <c r="N547" s="3">
        <f>(Table1[[#This Row],[Unit_Price]]-Table1[[#This Row],[Negotiated_Price]])/Table1[[#This Row],[Unit_Price]]</f>
        <v>0.12196998845709882</v>
      </c>
      <c r="P547" t="s">
        <v>27</v>
      </c>
      <c r="Q547">
        <f>IF(Table1[[#This Row],[Compliance]]="Yes", 1, 0)</f>
        <v>0</v>
      </c>
    </row>
    <row r="548" spans="1:17" x14ac:dyDescent="0.35">
      <c r="A548" t="s">
        <v>573</v>
      </c>
      <c r="B548" t="s">
        <v>29</v>
      </c>
      <c r="C548" s="1">
        <v>44692</v>
      </c>
      <c r="D548" s="1">
        <v>44695</v>
      </c>
      <c r="E548" s="1">
        <f>SUM(Table1[[#This Row],[Delivery_Date]]-Table1[[#This Row],[Order_Date]])</f>
        <v>3</v>
      </c>
      <c r="F548" t="s">
        <v>21</v>
      </c>
      <c r="G548" t="s">
        <v>35</v>
      </c>
      <c r="H548">
        <v>363</v>
      </c>
      <c r="I548" s="4">
        <v>45.37</v>
      </c>
      <c r="J548" s="4">
        <v>38.729999999999997</v>
      </c>
      <c r="K548" s="4">
        <f>Table1[[#This Row],[Quantity]]*Table1[[#This Row],[Negotiated_Price]]</f>
        <v>14058.989999999998</v>
      </c>
      <c r="L548" s="4">
        <f>Table1[[#This Row],[Quantity]]*Table1[[#This Row],[Unit_Price]]</f>
        <v>16469.309999999998</v>
      </c>
      <c r="M548" s="4">
        <f>Table1[[#This Row],[Unit_Price]]-Table1[[#This Row],[Negotiated_Price]]</f>
        <v>6.6400000000000006</v>
      </c>
      <c r="N548" s="3">
        <f>(Table1[[#This Row],[Unit_Price]]-Table1[[#This Row],[Negotiated_Price]])/Table1[[#This Row],[Unit_Price]]</f>
        <v>0.14635221512012345</v>
      </c>
      <c r="P548" t="s">
        <v>15</v>
      </c>
      <c r="Q548">
        <f>IF(Table1[[#This Row],[Compliance]]="Yes", 1, 0)</f>
        <v>1</v>
      </c>
    </row>
    <row r="549" spans="1:17" x14ac:dyDescent="0.35">
      <c r="A549" t="s">
        <v>574</v>
      </c>
      <c r="B549" t="s">
        <v>12</v>
      </c>
      <c r="C549" s="1">
        <v>44758</v>
      </c>
      <c r="D549" s="1">
        <v>44764</v>
      </c>
      <c r="E549" s="1">
        <f>SUM(Table1[[#This Row],[Delivery_Date]]-Table1[[#This Row],[Order_Date]])</f>
        <v>6</v>
      </c>
      <c r="F549" t="s">
        <v>13</v>
      </c>
      <c r="G549" t="s">
        <v>18</v>
      </c>
      <c r="H549">
        <v>619</v>
      </c>
      <c r="I549" s="4">
        <v>58.4</v>
      </c>
      <c r="J549" s="4">
        <v>51.04</v>
      </c>
      <c r="K549" s="4">
        <f>Table1[[#This Row],[Quantity]]*Table1[[#This Row],[Negotiated_Price]]</f>
        <v>31593.759999999998</v>
      </c>
      <c r="L549" s="4">
        <f>Table1[[#This Row],[Quantity]]*Table1[[#This Row],[Unit_Price]]</f>
        <v>36149.599999999999</v>
      </c>
      <c r="M549" s="4">
        <f>Table1[[#This Row],[Unit_Price]]-Table1[[#This Row],[Negotiated_Price]]</f>
        <v>7.3599999999999994</v>
      </c>
      <c r="N549" s="3">
        <f>(Table1[[#This Row],[Unit_Price]]-Table1[[#This Row],[Negotiated_Price]])/Table1[[#This Row],[Unit_Price]]</f>
        <v>0.12602739726027395</v>
      </c>
      <c r="P549" t="s">
        <v>15</v>
      </c>
      <c r="Q549">
        <f>IF(Table1[[#This Row],[Compliance]]="Yes", 1, 0)</f>
        <v>1</v>
      </c>
    </row>
    <row r="550" spans="1:17" x14ac:dyDescent="0.35">
      <c r="A550" t="s">
        <v>575</v>
      </c>
      <c r="B550" t="s">
        <v>12</v>
      </c>
      <c r="C550" s="1">
        <v>44992</v>
      </c>
      <c r="D550" s="1">
        <v>45003</v>
      </c>
      <c r="E550" s="1">
        <f>SUM(Table1[[#This Row],[Delivery_Date]]-Table1[[#This Row],[Order_Date]])</f>
        <v>11</v>
      </c>
      <c r="F550" t="s">
        <v>21</v>
      </c>
      <c r="G550" t="s">
        <v>18</v>
      </c>
      <c r="H550">
        <v>1415</v>
      </c>
      <c r="I550" s="4">
        <v>15.22</v>
      </c>
      <c r="J550" s="4">
        <v>13.56</v>
      </c>
      <c r="K550" s="4">
        <f>Table1[[#This Row],[Quantity]]*Table1[[#This Row],[Negotiated_Price]]</f>
        <v>19187.400000000001</v>
      </c>
      <c r="L550" s="4">
        <f>Table1[[#This Row],[Quantity]]*Table1[[#This Row],[Unit_Price]]</f>
        <v>21536.3</v>
      </c>
      <c r="M550" s="4">
        <f>Table1[[#This Row],[Unit_Price]]-Table1[[#This Row],[Negotiated_Price]]</f>
        <v>1.6600000000000001</v>
      </c>
      <c r="N550" s="3">
        <f>(Table1[[#This Row],[Unit_Price]]-Table1[[#This Row],[Negotiated_Price]])/Table1[[#This Row],[Unit_Price]]</f>
        <v>0.10906701708278581</v>
      </c>
      <c r="O550">
        <v>30</v>
      </c>
      <c r="P550" t="s">
        <v>15</v>
      </c>
      <c r="Q550">
        <f>IF(Table1[[#This Row],[Compliance]]="Yes", 1, 0)</f>
        <v>1</v>
      </c>
    </row>
    <row r="551" spans="1:17" x14ac:dyDescent="0.35">
      <c r="A551" t="s">
        <v>576</v>
      </c>
      <c r="B551" t="s">
        <v>23</v>
      </c>
      <c r="C551" s="1">
        <v>45242</v>
      </c>
      <c r="D551" s="1">
        <v>45253</v>
      </c>
      <c r="E551" s="1">
        <f>SUM(Table1[[#This Row],[Delivery_Date]]-Table1[[#This Row],[Order_Date]])</f>
        <v>11</v>
      </c>
      <c r="F551" t="s">
        <v>24</v>
      </c>
      <c r="G551" t="s">
        <v>18</v>
      </c>
      <c r="H551">
        <v>354</v>
      </c>
      <c r="I551" s="4">
        <v>27.71</v>
      </c>
      <c r="J551" s="4">
        <v>23.87</v>
      </c>
      <c r="K551" s="4">
        <f>Table1[[#This Row],[Quantity]]*Table1[[#This Row],[Negotiated_Price]]</f>
        <v>8449.98</v>
      </c>
      <c r="L551" s="4">
        <f>Table1[[#This Row],[Quantity]]*Table1[[#This Row],[Unit_Price]]</f>
        <v>9809.34</v>
      </c>
      <c r="M551" s="4">
        <f>Table1[[#This Row],[Unit_Price]]-Table1[[#This Row],[Negotiated_Price]]</f>
        <v>3.84</v>
      </c>
      <c r="N551" s="3">
        <f>(Table1[[#This Row],[Unit_Price]]-Table1[[#This Row],[Negotiated_Price]])/Table1[[#This Row],[Unit_Price]]</f>
        <v>0.13857813063875857</v>
      </c>
      <c r="O551">
        <v>39</v>
      </c>
      <c r="P551" t="s">
        <v>27</v>
      </c>
      <c r="Q551">
        <f>IF(Table1[[#This Row],[Compliance]]="Yes", 1, 0)</f>
        <v>0</v>
      </c>
    </row>
    <row r="552" spans="1:17" x14ac:dyDescent="0.35">
      <c r="A552" t="s">
        <v>577</v>
      </c>
      <c r="B552" t="s">
        <v>20</v>
      </c>
      <c r="C552" s="1">
        <v>44950</v>
      </c>
      <c r="D552" s="1">
        <v>44960</v>
      </c>
      <c r="E552" s="1">
        <f>SUM(Table1[[#This Row],[Delivery_Date]]-Table1[[#This Row],[Order_Date]])</f>
        <v>10</v>
      </c>
      <c r="F552" t="s">
        <v>21</v>
      </c>
      <c r="G552" t="s">
        <v>18</v>
      </c>
      <c r="H552">
        <v>1765</v>
      </c>
      <c r="I552" s="4">
        <v>81.010000000000005</v>
      </c>
      <c r="J552" s="4">
        <v>78.430000000000007</v>
      </c>
      <c r="K552" s="4">
        <f>Table1[[#This Row],[Quantity]]*Table1[[#This Row],[Negotiated_Price]]</f>
        <v>138428.95000000001</v>
      </c>
      <c r="L552" s="4">
        <f>Table1[[#This Row],[Quantity]]*Table1[[#This Row],[Unit_Price]]</f>
        <v>142982.65000000002</v>
      </c>
      <c r="M552" s="4">
        <f>Table1[[#This Row],[Unit_Price]]-Table1[[#This Row],[Negotiated_Price]]</f>
        <v>2.5799999999999983</v>
      </c>
      <c r="N552" s="3">
        <f>(Table1[[#This Row],[Unit_Price]]-Table1[[#This Row],[Negotiated_Price]])/Table1[[#This Row],[Unit_Price]]</f>
        <v>3.1847920009875304E-2</v>
      </c>
      <c r="O552">
        <v>78</v>
      </c>
      <c r="P552" t="s">
        <v>15</v>
      </c>
      <c r="Q552">
        <f>IF(Table1[[#This Row],[Compliance]]="Yes", 1, 0)</f>
        <v>1</v>
      </c>
    </row>
    <row r="553" spans="1:17" x14ac:dyDescent="0.35">
      <c r="A553" t="s">
        <v>578</v>
      </c>
      <c r="B553" t="s">
        <v>23</v>
      </c>
      <c r="C553" s="1">
        <v>45255</v>
      </c>
      <c r="D553" s="1">
        <v>45269</v>
      </c>
      <c r="E553" s="1">
        <f>SUM(Table1[[#This Row],[Delivery_Date]]-Table1[[#This Row],[Order_Date]])</f>
        <v>14</v>
      </c>
      <c r="F553" t="s">
        <v>21</v>
      </c>
      <c r="G553" t="s">
        <v>18</v>
      </c>
      <c r="H553">
        <v>731</v>
      </c>
      <c r="I553" s="4">
        <v>19.37</v>
      </c>
      <c r="J553" s="4">
        <v>17.3</v>
      </c>
      <c r="K553" s="4">
        <f>Table1[[#This Row],[Quantity]]*Table1[[#This Row],[Negotiated_Price]]</f>
        <v>12646.300000000001</v>
      </c>
      <c r="L553" s="4">
        <f>Table1[[#This Row],[Quantity]]*Table1[[#This Row],[Unit_Price]]</f>
        <v>14159.470000000001</v>
      </c>
      <c r="M553" s="4">
        <f>Table1[[#This Row],[Unit_Price]]-Table1[[#This Row],[Negotiated_Price]]</f>
        <v>2.0700000000000003</v>
      </c>
      <c r="N553" s="3">
        <f>(Table1[[#This Row],[Unit_Price]]-Table1[[#This Row],[Negotiated_Price]])/Table1[[#This Row],[Unit_Price]]</f>
        <v>0.10686628807434177</v>
      </c>
      <c r="O553">
        <v>69</v>
      </c>
      <c r="P553" t="s">
        <v>27</v>
      </c>
      <c r="Q553">
        <f>IF(Table1[[#This Row],[Compliance]]="Yes", 1, 0)</f>
        <v>0</v>
      </c>
    </row>
    <row r="554" spans="1:17" x14ac:dyDescent="0.35">
      <c r="A554" t="s">
        <v>579</v>
      </c>
      <c r="B554" t="s">
        <v>29</v>
      </c>
      <c r="C554" s="1">
        <v>44740</v>
      </c>
      <c r="D554" s="1">
        <v>44755</v>
      </c>
      <c r="E554" s="1">
        <f>SUM(Table1[[#This Row],[Delivery_Date]]-Table1[[#This Row],[Order_Date]])</f>
        <v>15</v>
      </c>
      <c r="F554" t="s">
        <v>21</v>
      </c>
      <c r="G554" t="s">
        <v>18</v>
      </c>
      <c r="H554">
        <v>887</v>
      </c>
      <c r="I554" s="4">
        <v>65.89</v>
      </c>
      <c r="J554" s="4">
        <v>59.67</v>
      </c>
      <c r="K554" s="4">
        <f>Table1[[#This Row],[Quantity]]*Table1[[#This Row],[Negotiated_Price]]</f>
        <v>52927.29</v>
      </c>
      <c r="L554" s="4">
        <f>Table1[[#This Row],[Quantity]]*Table1[[#This Row],[Unit_Price]]</f>
        <v>58444.43</v>
      </c>
      <c r="M554" s="4">
        <f>Table1[[#This Row],[Unit_Price]]-Table1[[#This Row],[Negotiated_Price]]</f>
        <v>6.2199999999999989</v>
      </c>
      <c r="N554" s="3">
        <f>(Table1[[#This Row],[Unit_Price]]-Table1[[#This Row],[Negotiated_Price]])/Table1[[#This Row],[Unit_Price]]</f>
        <v>9.4399757171042625E-2</v>
      </c>
      <c r="O554">
        <v>29</v>
      </c>
      <c r="P554" t="s">
        <v>15</v>
      </c>
      <c r="Q554">
        <f>IF(Table1[[#This Row],[Compliance]]="Yes", 1, 0)</f>
        <v>1</v>
      </c>
    </row>
    <row r="555" spans="1:17" x14ac:dyDescent="0.35">
      <c r="A555" t="s">
        <v>580</v>
      </c>
      <c r="B555" t="s">
        <v>12</v>
      </c>
      <c r="C555" s="1">
        <v>45192</v>
      </c>
      <c r="D555" s="1">
        <v>45194</v>
      </c>
      <c r="E555" s="1">
        <f>SUM(Table1[[#This Row],[Delivery_Date]]-Table1[[#This Row],[Order_Date]])</f>
        <v>2</v>
      </c>
      <c r="F555" t="s">
        <v>21</v>
      </c>
      <c r="G555" t="s">
        <v>18</v>
      </c>
      <c r="H555">
        <v>1856</v>
      </c>
      <c r="I555" s="4">
        <v>35.29</v>
      </c>
      <c r="J555" s="4">
        <v>32.409999999999997</v>
      </c>
      <c r="K555" s="4">
        <f>Table1[[#This Row],[Quantity]]*Table1[[#This Row],[Negotiated_Price]]</f>
        <v>60152.959999999992</v>
      </c>
      <c r="L555" s="4">
        <f>Table1[[#This Row],[Quantity]]*Table1[[#This Row],[Unit_Price]]</f>
        <v>65498.239999999998</v>
      </c>
      <c r="M555" s="4">
        <f>Table1[[#This Row],[Unit_Price]]-Table1[[#This Row],[Negotiated_Price]]</f>
        <v>2.8800000000000026</v>
      </c>
      <c r="N555" s="3">
        <f>(Table1[[#This Row],[Unit_Price]]-Table1[[#This Row],[Negotiated_Price]])/Table1[[#This Row],[Unit_Price]]</f>
        <v>8.1609521110796335E-2</v>
      </c>
      <c r="O555">
        <v>26</v>
      </c>
      <c r="P555" t="s">
        <v>15</v>
      </c>
      <c r="Q555">
        <f>IF(Table1[[#This Row],[Compliance]]="Yes", 1, 0)</f>
        <v>1</v>
      </c>
    </row>
    <row r="556" spans="1:17" x14ac:dyDescent="0.35">
      <c r="A556" t="s">
        <v>581</v>
      </c>
      <c r="B556" t="s">
        <v>29</v>
      </c>
      <c r="C556" s="1">
        <v>45144</v>
      </c>
      <c r="D556" s="1">
        <v>45156</v>
      </c>
      <c r="E556" s="1">
        <f>SUM(Table1[[#This Row],[Delivery_Date]]-Table1[[#This Row],[Order_Date]])</f>
        <v>12</v>
      </c>
      <c r="F556" t="s">
        <v>13</v>
      </c>
      <c r="G556" t="s">
        <v>18</v>
      </c>
      <c r="H556">
        <v>1127</v>
      </c>
      <c r="I556" s="4">
        <v>49.32</v>
      </c>
      <c r="J556" s="4">
        <v>46.49</v>
      </c>
      <c r="K556" s="4">
        <f>Table1[[#This Row],[Quantity]]*Table1[[#This Row],[Negotiated_Price]]</f>
        <v>52394.23</v>
      </c>
      <c r="L556" s="4">
        <f>Table1[[#This Row],[Quantity]]*Table1[[#This Row],[Unit_Price]]</f>
        <v>55583.64</v>
      </c>
      <c r="M556" s="4">
        <f>Table1[[#This Row],[Unit_Price]]-Table1[[#This Row],[Negotiated_Price]]</f>
        <v>2.8299999999999983</v>
      </c>
      <c r="N556" s="3">
        <f>(Table1[[#This Row],[Unit_Price]]-Table1[[#This Row],[Negotiated_Price]])/Table1[[#This Row],[Unit_Price]]</f>
        <v>5.7380373073803698E-2</v>
      </c>
      <c r="O556">
        <v>30</v>
      </c>
      <c r="P556" t="s">
        <v>15</v>
      </c>
      <c r="Q556">
        <f>IF(Table1[[#This Row],[Compliance]]="Yes", 1, 0)</f>
        <v>1</v>
      </c>
    </row>
    <row r="557" spans="1:17" x14ac:dyDescent="0.35">
      <c r="A557" t="s">
        <v>582</v>
      </c>
      <c r="B557" t="s">
        <v>17</v>
      </c>
      <c r="C557" s="1">
        <v>44870</v>
      </c>
      <c r="D557" s="1">
        <v>44884</v>
      </c>
      <c r="E557" s="1">
        <f>SUM(Table1[[#This Row],[Delivery_Date]]-Table1[[#This Row],[Order_Date]])</f>
        <v>14</v>
      </c>
      <c r="F557" t="s">
        <v>26</v>
      </c>
      <c r="G557" t="s">
        <v>18</v>
      </c>
      <c r="H557">
        <v>1052</v>
      </c>
      <c r="I557" s="4">
        <v>37.78</v>
      </c>
      <c r="J557" s="4">
        <v>32.6</v>
      </c>
      <c r="K557" s="4">
        <f>Table1[[#This Row],[Quantity]]*Table1[[#This Row],[Negotiated_Price]]</f>
        <v>34295.200000000004</v>
      </c>
      <c r="L557" s="4">
        <f>Table1[[#This Row],[Quantity]]*Table1[[#This Row],[Unit_Price]]</f>
        <v>39744.559999999998</v>
      </c>
      <c r="M557" s="4">
        <f>Table1[[#This Row],[Unit_Price]]-Table1[[#This Row],[Negotiated_Price]]</f>
        <v>5.18</v>
      </c>
      <c r="N557" s="3">
        <f>(Table1[[#This Row],[Unit_Price]]-Table1[[#This Row],[Negotiated_Price]])/Table1[[#This Row],[Unit_Price]]</f>
        <v>0.13710958178930649</v>
      </c>
      <c r="O557">
        <v>162</v>
      </c>
      <c r="P557" t="s">
        <v>15</v>
      </c>
      <c r="Q557">
        <f>IF(Table1[[#This Row],[Compliance]]="Yes", 1, 0)</f>
        <v>1</v>
      </c>
    </row>
    <row r="558" spans="1:17" x14ac:dyDescent="0.35">
      <c r="A558" t="s">
        <v>583</v>
      </c>
      <c r="B558" t="s">
        <v>20</v>
      </c>
      <c r="C558" s="1">
        <v>44977</v>
      </c>
      <c r="D558" s="1">
        <v>44979</v>
      </c>
      <c r="E558" s="1">
        <f>SUM(Table1[[#This Row],[Delivery_Date]]-Table1[[#This Row],[Order_Date]])</f>
        <v>2</v>
      </c>
      <c r="F558" t="s">
        <v>26</v>
      </c>
      <c r="G558" t="s">
        <v>18</v>
      </c>
      <c r="H558">
        <v>493</v>
      </c>
      <c r="I558" s="4">
        <v>44.74</v>
      </c>
      <c r="J558" s="4">
        <v>41.44</v>
      </c>
      <c r="K558" s="4">
        <f>Table1[[#This Row],[Quantity]]*Table1[[#This Row],[Negotiated_Price]]</f>
        <v>20429.919999999998</v>
      </c>
      <c r="L558" s="4">
        <f>Table1[[#This Row],[Quantity]]*Table1[[#This Row],[Unit_Price]]</f>
        <v>22056.82</v>
      </c>
      <c r="M558" s="4">
        <f>Table1[[#This Row],[Unit_Price]]-Table1[[#This Row],[Negotiated_Price]]</f>
        <v>3.3000000000000043</v>
      </c>
      <c r="N558" s="3">
        <f>(Table1[[#This Row],[Unit_Price]]-Table1[[#This Row],[Negotiated_Price]])/Table1[[#This Row],[Unit_Price]]</f>
        <v>7.3759499329459188E-2</v>
      </c>
      <c r="O558">
        <v>24</v>
      </c>
      <c r="P558" t="s">
        <v>27</v>
      </c>
      <c r="Q558">
        <f>IF(Table1[[#This Row],[Compliance]]="Yes", 1, 0)</f>
        <v>0</v>
      </c>
    </row>
    <row r="559" spans="1:17" x14ac:dyDescent="0.35">
      <c r="A559" t="s">
        <v>584</v>
      </c>
      <c r="B559" t="s">
        <v>17</v>
      </c>
      <c r="C559" s="1">
        <v>45123</v>
      </c>
      <c r="D559" s="1">
        <v>45136</v>
      </c>
      <c r="E559" s="1">
        <f>SUM(Table1[[#This Row],[Delivery_Date]]-Table1[[#This Row],[Order_Date]])</f>
        <v>13</v>
      </c>
      <c r="F559" t="s">
        <v>21</v>
      </c>
      <c r="G559" t="s">
        <v>33</v>
      </c>
      <c r="H559">
        <v>662</v>
      </c>
      <c r="I559" s="4">
        <v>81.44</v>
      </c>
      <c r="J559" s="4">
        <v>71.33</v>
      </c>
      <c r="K559" s="4">
        <f>Table1[[#This Row],[Quantity]]*Table1[[#This Row],[Negotiated_Price]]</f>
        <v>47220.46</v>
      </c>
      <c r="L559" s="4">
        <f>Table1[[#This Row],[Quantity]]*Table1[[#This Row],[Unit_Price]]</f>
        <v>53913.279999999999</v>
      </c>
      <c r="M559" s="4">
        <f>Table1[[#This Row],[Unit_Price]]-Table1[[#This Row],[Negotiated_Price]]</f>
        <v>10.11</v>
      </c>
      <c r="N559" s="3">
        <f>(Table1[[#This Row],[Unit_Price]]-Table1[[#This Row],[Negotiated_Price]])/Table1[[#This Row],[Unit_Price]]</f>
        <v>0.12414047151277013</v>
      </c>
      <c r="O559">
        <v>87</v>
      </c>
      <c r="P559" t="s">
        <v>15</v>
      </c>
      <c r="Q559">
        <f>IF(Table1[[#This Row],[Compliance]]="Yes", 1, 0)</f>
        <v>1</v>
      </c>
    </row>
    <row r="560" spans="1:17" x14ac:dyDescent="0.35">
      <c r="A560" t="s">
        <v>585</v>
      </c>
      <c r="B560" t="s">
        <v>12</v>
      </c>
      <c r="C560" s="1">
        <v>44562</v>
      </c>
      <c r="D560" s="1">
        <v>44568</v>
      </c>
      <c r="E560" s="1">
        <f>SUM(Table1[[#This Row],[Delivery_Date]]-Table1[[#This Row],[Order_Date]])</f>
        <v>6</v>
      </c>
      <c r="F560" t="s">
        <v>26</v>
      </c>
      <c r="G560" t="s">
        <v>18</v>
      </c>
      <c r="H560">
        <v>1042</v>
      </c>
      <c r="I560" s="4">
        <v>36.74</v>
      </c>
      <c r="J560" s="4">
        <v>35.78</v>
      </c>
      <c r="K560" s="4">
        <f>Table1[[#This Row],[Quantity]]*Table1[[#This Row],[Negotiated_Price]]</f>
        <v>37282.76</v>
      </c>
      <c r="L560" s="4">
        <f>Table1[[#This Row],[Quantity]]*Table1[[#This Row],[Unit_Price]]</f>
        <v>38283.08</v>
      </c>
      <c r="M560" s="4">
        <f>Table1[[#This Row],[Unit_Price]]-Table1[[#This Row],[Negotiated_Price]]</f>
        <v>0.96000000000000085</v>
      </c>
      <c r="N560" s="3">
        <f>(Table1[[#This Row],[Unit_Price]]-Table1[[#This Row],[Negotiated_Price]])/Table1[[#This Row],[Unit_Price]]</f>
        <v>2.6129559063690824E-2</v>
      </c>
      <c r="O560">
        <v>33</v>
      </c>
      <c r="P560" t="s">
        <v>15</v>
      </c>
      <c r="Q560">
        <f>IF(Table1[[#This Row],[Compliance]]="Yes", 1, 0)</f>
        <v>1</v>
      </c>
    </row>
    <row r="561" spans="1:17" hidden="1" x14ac:dyDescent="0.35">
      <c r="A561" t="s">
        <v>586</v>
      </c>
      <c r="B561" t="s">
        <v>12</v>
      </c>
      <c r="C561" s="1">
        <v>44873</v>
      </c>
      <c r="E561" s="1">
        <f>SUM(Table1[[#This Row],[Delivery_Date]]-Table1[[#This Row],[Order_Date]])</f>
        <v>-44873</v>
      </c>
      <c r="F561" t="s">
        <v>26</v>
      </c>
      <c r="G561" t="s">
        <v>18</v>
      </c>
      <c r="H561">
        <v>313</v>
      </c>
      <c r="I561">
        <v>64.03</v>
      </c>
      <c r="J561">
        <v>57.74</v>
      </c>
      <c r="K561">
        <f>Table1[[#This Row],[Quantity]]*Table1[[#This Row],[Negotiated_Price]]</f>
        <v>18072.62</v>
      </c>
      <c r="L561" s="5">
        <f>Table1[[#This Row],[Quantity]]*Table1[[#This Row],[Unit_Price]]</f>
        <v>20041.39</v>
      </c>
      <c r="M561">
        <f>Table1[[#This Row],[Unit_Price]]-Table1[[#This Row],[Negotiated_Price]]</f>
        <v>6.2899999999999991</v>
      </c>
      <c r="N561" s="2">
        <f>(Table1[[#This Row],[Unit_Price]]-Table1[[#This Row],[Negotiated_Price]])/Table1[[#This Row],[Unit_Price]]</f>
        <v>9.8235202248945788E-2</v>
      </c>
      <c r="O561">
        <v>1</v>
      </c>
      <c r="P561" t="s">
        <v>15</v>
      </c>
      <c r="Q561">
        <f>IF(Table1[[#This Row],[Compliance]]="Yes", 1, 0)</f>
        <v>1</v>
      </c>
    </row>
    <row r="562" spans="1:17" x14ac:dyDescent="0.35">
      <c r="A562" t="s">
        <v>587</v>
      </c>
      <c r="B562" t="s">
        <v>12</v>
      </c>
      <c r="C562" s="1">
        <v>44855</v>
      </c>
      <c r="D562" s="1">
        <v>44875</v>
      </c>
      <c r="E562" s="1">
        <f>SUM(Table1[[#This Row],[Delivery_Date]]-Table1[[#This Row],[Order_Date]])</f>
        <v>20</v>
      </c>
      <c r="F562" t="s">
        <v>13</v>
      </c>
      <c r="G562" t="s">
        <v>18</v>
      </c>
      <c r="H562">
        <v>1126</v>
      </c>
      <c r="I562" s="4">
        <v>55.22</v>
      </c>
      <c r="J562" s="4">
        <v>50.38</v>
      </c>
      <c r="K562" s="4">
        <f>Table1[[#This Row],[Quantity]]*Table1[[#This Row],[Negotiated_Price]]</f>
        <v>56727.880000000005</v>
      </c>
      <c r="L562" s="4">
        <f>Table1[[#This Row],[Quantity]]*Table1[[#This Row],[Unit_Price]]</f>
        <v>62177.72</v>
      </c>
      <c r="M562" s="4">
        <f>Table1[[#This Row],[Unit_Price]]-Table1[[#This Row],[Negotiated_Price]]</f>
        <v>4.8399999999999963</v>
      </c>
      <c r="N562" s="3">
        <f>(Table1[[#This Row],[Unit_Price]]-Table1[[#This Row],[Negotiated_Price]])/Table1[[#This Row],[Unit_Price]]</f>
        <v>8.7649402390438183E-2</v>
      </c>
      <c r="P562" t="s">
        <v>15</v>
      </c>
      <c r="Q562">
        <f>IF(Table1[[#This Row],[Compliance]]="Yes", 1, 0)</f>
        <v>1</v>
      </c>
    </row>
    <row r="563" spans="1:17" x14ac:dyDescent="0.35">
      <c r="A563" t="s">
        <v>588</v>
      </c>
      <c r="B563" t="s">
        <v>20</v>
      </c>
      <c r="C563" s="1">
        <v>44777</v>
      </c>
      <c r="D563" s="1">
        <v>44792</v>
      </c>
      <c r="E563" s="1">
        <f>SUM(Table1[[#This Row],[Delivery_Date]]-Table1[[#This Row],[Order_Date]])</f>
        <v>15</v>
      </c>
      <c r="F563" t="s">
        <v>21</v>
      </c>
      <c r="G563" t="s">
        <v>18</v>
      </c>
      <c r="H563">
        <v>1645</v>
      </c>
      <c r="I563" s="4">
        <v>72.17</v>
      </c>
      <c r="J563" s="4">
        <v>64</v>
      </c>
      <c r="K563" s="4">
        <f>Table1[[#This Row],[Quantity]]*Table1[[#This Row],[Negotiated_Price]]</f>
        <v>105280</v>
      </c>
      <c r="L563" s="4">
        <f>Table1[[#This Row],[Quantity]]*Table1[[#This Row],[Unit_Price]]</f>
        <v>118719.65000000001</v>
      </c>
      <c r="M563" s="4">
        <f>Table1[[#This Row],[Unit_Price]]-Table1[[#This Row],[Negotiated_Price]]</f>
        <v>8.1700000000000017</v>
      </c>
      <c r="N563" s="3">
        <f>(Table1[[#This Row],[Unit_Price]]-Table1[[#This Row],[Negotiated_Price]])/Table1[[#This Row],[Unit_Price]]</f>
        <v>0.11320493279756133</v>
      </c>
      <c r="O563">
        <v>79</v>
      </c>
      <c r="P563" t="s">
        <v>15</v>
      </c>
      <c r="Q563">
        <f>IF(Table1[[#This Row],[Compliance]]="Yes", 1, 0)</f>
        <v>1</v>
      </c>
    </row>
    <row r="564" spans="1:17" x14ac:dyDescent="0.35">
      <c r="A564" t="s">
        <v>589</v>
      </c>
      <c r="B564" t="s">
        <v>23</v>
      </c>
      <c r="C564" s="1">
        <v>45002</v>
      </c>
      <c r="D564" s="1">
        <v>45005</v>
      </c>
      <c r="E564" s="1">
        <f>SUM(Table1[[#This Row],[Delivery_Date]]-Table1[[#This Row],[Order_Date]])</f>
        <v>3</v>
      </c>
      <c r="F564" t="s">
        <v>24</v>
      </c>
      <c r="G564" t="s">
        <v>18</v>
      </c>
      <c r="H564">
        <v>1053</v>
      </c>
      <c r="I564" s="4">
        <v>100.92</v>
      </c>
      <c r="J564" s="4">
        <v>92.35</v>
      </c>
      <c r="K564" s="4">
        <f>Table1[[#This Row],[Quantity]]*Table1[[#This Row],[Negotiated_Price]]</f>
        <v>97244.549999999988</v>
      </c>
      <c r="L564" s="4">
        <f>Table1[[#This Row],[Quantity]]*Table1[[#This Row],[Unit_Price]]</f>
        <v>106268.76</v>
      </c>
      <c r="M564" s="4">
        <f>Table1[[#This Row],[Unit_Price]]-Table1[[#This Row],[Negotiated_Price]]</f>
        <v>8.5700000000000074</v>
      </c>
      <c r="N564" s="3">
        <f>(Table1[[#This Row],[Unit_Price]]-Table1[[#This Row],[Negotiated_Price]])/Table1[[#This Row],[Unit_Price]]</f>
        <v>8.4918747522790397E-2</v>
      </c>
      <c r="O564">
        <v>104</v>
      </c>
      <c r="P564" t="s">
        <v>15</v>
      </c>
      <c r="Q564">
        <f>IF(Table1[[#This Row],[Compliance]]="Yes", 1, 0)</f>
        <v>1</v>
      </c>
    </row>
    <row r="565" spans="1:17" x14ac:dyDescent="0.35">
      <c r="A565" t="s">
        <v>590</v>
      </c>
      <c r="B565" t="s">
        <v>29</v>
      </c>
      <c r="C565" s="1">
        <v>45155</v>
      </c>
      <c r="D565" s="1">
        <v>45167</v>
      </c>
      <c r="E565" s="1">
        <f>SUM(Table1[[#This Row],[Delivery_Date]]-Table1[[#This Row],[Order_Date]])</f>
        <v>12</v>
      </c>
      <c r="F565" t="s">
        <v>21</v>
      </c>
      <c r="G565" t="s">
        <v>18</v>
      </c>
      <c r="H565">
        <v>1693</v>
      </c>
      <c r="I565" s="4">
        <v>83.14</v>
      </c>
      <c r="J565" s="4">
        <v>73.3</v>
      </c>
      <c r="K565" s="4">
        <f>Table1[[#This Row],[Quantity]]*Table1[[#This Row],[Negotiated_Price]]</f>
        <v>124096.9</v>
      </c>
      <c r="L565" s="4">
        <f>Table1[[#This Row],[Quantity]]*Table1[[#This Row],[Unit_Price]]</f>
        <v>140756.01999999999</v>
      </c>
      <c r="M565" s="4">
        <f>Table1[[#This Row],[Unit_Price]]-Table1[[#This Row],[Negotiated_Price]]</f>
        <v>9.8400000000000034</v>
      </c>
      <c r="N565" s="3">
        <f>(Table1[[#This Row],[Unit_Price]]-Table1[[#This Row],[Negotiated_Price]])/Table1[[#This Row],[Unit_Price]]</f>
        <v>0.11835458263170559</v>
      </c>
      <c r="O565">
        <v>62</v>
      </c>
      <c r="P565" t="s">
        <v>15</v>
      </c>
      <c r="Q565">
        <f>IF(Table1[[#This Row],[Compliance]]="Yes", 1, 0)</f>
        <v>1</v>
      </c>
    </row>
    <row r="566" spans="1:17" x14ac:dyDescent="0.35">
      <c r="A566" t="s">
        <v>591</v>
      </c>
      <c r="B566" t="s">
        <v>29</v>
      </c>
      <c r="C566" s="1">
        <v>45183</v>
      </c>
      <c r="D566" s="1">
        <v>45202</v>
      </c>
      <c r="E566" s="1">
        <f>SUM(Table1[[#This Row],[Delivery_Date]]-Table1[[#This Row],[Order_Date]])</f>
        <v>19</v>
      </c>
      <c r="F566" t="s">
        <v>26</v>
      </c>
      <c r="G566" t="s">
        <v>35</v>
      </c>
      <c r="H566">
        <v>54</v>
      </c>
      <c r="I566" s="4">
        <v>32.28</v>
      </c>
      <c r="J566" s="4">
        <v>28.65</v>
      </c>
      <c r="K566" s="4">
        <f>Table1[[#This Row],[Quantity]]*Table1[[#This Row],[Negotiated_Price]]</f>
        <v>1547.1</v>
      </c>
      <c r="L566" s="4">
        <f>Table1[[#This Row],[Quantity]]*Table1[[#This Row],[Unit_Price]]</f>
        <v>1743.1200000000001</v>
      </c>
      <c r="M566" s="4">
        <f>Table1[[#This Row],[Unit_Price]]-Table1[[#This Row],[Negotiated_Price]]</f>
        <v>3.6300000000000026</v>
      </c>
      <c r="N566" s="3">
        <f>(Table1[[#This Row],[Unit_Price]]-Table1[[#This Row],[Negotiated_Price]])/Table1[[#This Row],[Unit_Price]]</f>
        <v>0.11245353159851308</v>
      </c>
      <c r="O566">
        <v>3</v>
      </c>
      <c r="P566" t="s">
        <v>15</v>
      </c>
      <c r="Q566">
        <f>IF(Table1[[#This Row],[Compliance]]="Yes", 1, 0)</f>
        <v>1</v>
      </c>
    </row>
    <row r="567" spans="1:17" x14ac:dyDescent="0.35">
      <c r="A567" t="s">
        <v>592</v>
      </c>
      <c r="B567" t="s">
        <v>29</v>
      </c>
      <c r="C567" s="1">
        <v>45232</v>
      </c>
      <c r="D567" s="1">
        <v>45237</v>
      </c>
      <c r="E567" s="1">
        <f>SUM(Table1[[#This Row],[Delivery_Date]]-Table1[[#This Row],[Order_Date]])</f>
        <v>5</v>
      </c>
      <c r="F567" t="s">
        <v>24</v>
      </c>
      <c r="G567" t="s">
        <v>18</v>
      </c>
      <c r="H567">
        <v>1176</v>
      </c>
      <c r="I567" s="4">
        <v>14.22</v>
      </c>
      <c r="J567" s="4">
        <v>12.21</v>
      </c>
      <c r="K567" s="4">
        <f>Table1[[#This Row],[Quantity]]*Table1[[#This Row],[Negotiated_Price]]</f>
        <v>14358.960000000001</v>
      </c>
      <c r="L567" s="4">
        <f>Table1[[#This Row],[Quantity]]*Table1[[#This Row],[Unit_Price]]</f>
        <v>16722.72</v>
      </c>
      <c r="M567" s="4">
        <f>Table1[[#This Row],[Unit_Price]]-Table1[[#This Row],[Negotiated_Price]]</f>
        <v>2.0099999999999998</v>
      </c>
      <c r="N567" s="3">
        <f>(Table1[[#This Row],[Unit_Price]]-Table1[[#This Row],[Negotiated_Price]])/Table1[[#This Row],[Unit_Price]]</f>
        <v>0.1413502109704641</v>
      </c>
      <c r="O567">
        <v>33</v>
      </c>
      <c r="P567" t="s">
        <v>15</v>
      </c>
      <c r="Q567">
        <f>IF(Table1[[#This Row],[Compliance]]="Yes", 1, 0)</f>
        <v>1</v>
      </c>
    </row>
    <row r="568" spans="1:17" x14ac:dyDescent="0.35">
      <c r="A568" t="s">
        <v>593</v>
      </c>
      <c r="B568" t="s">
        <v>29</v>
      </c>
      <c r="C568" s="1">
        <v>44891</v>
      </c>
      <c r="D568" s="1">
        <v>44903</v>
      </c>
      <c r="E568" s="1">
        <f>SUM(Table1[[#This Row],[Delivery_Date]]-Table1[[#This Row],[Order_Date]])</f>
        <v>12</v>
      </c>
      <c r="F568" t="s">
        <v>26</v>
      </c>
      <c r="G568" t="s">
        <v>18</v>
      </c>
      <c r="H568">
        <v>1269</v>
      </c>
      <c r="I568" s="4">
        <v>35.28</v>
      </c>
      <c r="J568" s="4">
        <v>33.700000000000003</v>
      </c>
      <c r="K568" s="4">
        <f>Table1[[#This Row],[Quantity]]*Table1[[#This Row],[Negotiated_Price]]</f>
        <v>42765.3</v>
      </c>
      <c r="L568" s="4">
        <f>Table1[[#This Row],[Quantity]]*Table1[[#This Row],[Unit_Price]]</f>
        <v>44770.32</v>
      </c>
      <c r="M568" s="4">
        <f>Table1[[#This Row],[Unit_Price]]-Table1[[#This Row],[Negotiated_Price]]</f>
        <v>1.5799999999999983</v>
      </c>
      <c r="N568" s="3">
        <f>(Table1[[#This Row],[Unit_Price]]-Table1[[#This Row],[Negotiated_Price]])/Table1[[#This Row],[Unit_Price]]</f>
        <v>4.4784580498866161E-2</v>
      </c>
      <c r="O568">
        <v>35</v>
      </c>
      <c r="P568" t="s">
        <v>15</v>
      </c>
      <c r="Q568">
        <f>IF(Table1[[#This Row],[Compliance]]="Yes", 1, 0)</f>
        <v>1</v>
      </c>
    </row>
    <row r="569" spans="1:17" x14ac:dyDescent="0.35">
      <c r="A569" t="s">
        <v>594</v>
      </c>
      <c r="B569" t="s">
        <v>29</v>
      </c>
      <c r="C569" s="1">
        <v>45038</v>
      </c>
      <c r="D569" s="1">
        <v>45041</v>
      </c>
      <c r="E569" s="1">
        <f>SUM(Table1[[#This Row],[Delivery_Date]]-Table1[[#This Row],[Order_Date]])</f>
        <v>3</v>
      </c>
      <c r="F569" t="s">
        <v>26</v>
      </c>
      <c r="G569" t="s">
        <v>18</v>
      </c>
      <c r="H569">
        <v>823</v>
      </c>
      <c r="I569" s="4">
        <v>68.319999999999993</v>
      </c>
      <c r="J569" s="4">
        <v>64.459999999999994</v>
      </c>
      <c r="K569" s="4">
        <f>Table1[[#This Row],[Quantity]]*Table1[[#This Row],[Negotiated_Price]]</f>
        <v>53050.579999999994</v>
      </c>
      <c r="L569" s="4">
        <f>Table1[[#This Row],[Quantity]]*Table1[[#This Row],[Unit_Price]]</f>
        <v>56227.359999999993</v>
      </c>
      <c r="M569" s="4">
        <f>Table1[[#This Row],[Unit_Price]]-Table1[[#This Row],[Negotiated_Price]]</f>
        <v>3.8599999999999994</v>
      </c>
      <c r="N569" s="3">
        <f>(Table1[[#This Row],[Unit_Price]]-Table1[[#This Row],[Negotiated_Price]])/Table1[[#This Row],[Unit_Price]]</f>
        <v>5.6498829039812647E-2</v>
      </c>
      <c r="O569">
        <v>19</v>
      </c>
      <c r="P569" t="s">
        <v>15</v>
      </c>
      <c r="Q569">
        <f>IF(Table1[[#This Row],[Compliance]]="Yes", 1, 0)</f>
        <v>1</v>
      </c>
    </row>
    <row r="570" spans="1:17" x14ac:dyDescent="0.35">
      <c r="A570" t="s">
        <v>595</v>
      </c>
      <c r="B570" t="s">
        <v>23</v>
      </c>
      <c r="C570" s="1">
        <v>45014</v>
      </c>
      <c r="D570" s="1">
        <v>45031</v>
      </c>
      <c r="E570" s="1">
        <f>SUM(Table1[[#This Row],[Delivery_Date]]-Table1[[#This Row],[Order_Date]])</f>
        <v>17</v>
      </c>
      <c r="F570" t="s">
        <v>39</v>
      </c>
      <c r="G570" t="s">
        <v>18</v>
      </c>
      <c r="H570">
        <v>926</v>
      </c>
      <c r="I570" s="4">
        <v>15.65</v>
      </c>
      <c r="J570" s="4">
        <v>13.49</v>
      </c>
      <c r="K570" s="4">
        <f>Table1[[#This Row],[Quantity]]*Table1[[#This Row],[Negotiated_Price]]</f>
        <v>12491.74</v>
      </c>
      <c r="L570" s="4">
        <f>Table1[[#This Row],[Quantity]]*Table1[[#This Row],[Unit_Price]]</f>
        <v>14491.9</v>
      </c>
      <c r="M570" s="4">
        <f>Table1[[#This Row],[Unit_Price]]-Table1[[#This Row],[Negotiated_Price]]</f>
        <v>2.16</v>
      </c>
      <c r="N570" s="3">
        <f>(Table1[[#This Row],[Unit_Price]]-Table1[[#This Row],[Negotiated_Price]])/Table1[[#This Row],[Unit_Price]]</f>
        <v>0.13801916932907349</v>
      </c>
      <c r="O570">
        <v>94</v>
      </c>
      <c r="P570" t="s">
        <v>27</v>
      </c>
      <c r="Q570">
        <f>IF(Table1[[#This Row],[Compliance]]="Yes", 1, 0)</f>
        <v>0</v>
      </c>
    </row>
    <row r="571" spans="1:17" x14ac:dyDescent="0.35">
      <c r="A571" t="s">
        <v>596</v>
      </c>
      <c r="B571" t="s">
        <v>17</v>
      </c>
      <c r="C571" s="1">
        <v>45014</v>
      </c>
      <c r="D571" s="1">
        <v>45025</v>
      </c>
      <c r="E571" s="1">
        <f>SUM(Table1[[#This Row],[Delivery_Date]]-Table1[[#This Row],[Order_Date]])</f>
        <v>11</v>
      </c>
      <c r="F571" t="s">
        <v>39</v>
      </c>
      <c r="G571" t="s">
        <v>14</v>
      </c>
      <c r="H571">
        <v>1041</v>
      </c>
      <c r="I571" s="4">
        <v>58.5</v>
      </c>
      <c r="J571" s="4">
        <v>52.54</v>
      </c>
      <c r="K571" s="4">
        <f>Table1[[#This Row],[Quantity]]*Table1[[#This Row],[Negotiated_Price]]</f>
        <v>54694.14</v>
      </c>
      <c r="L571" s="4">
        <f>Table1[[#This Row],[Quantity]]*Table1[[#This Row],[Unit_Price]]</f>
        <v>60898.5</v>
      </c>
      <c r="M571" s="4">
        <f>Table1[[#This Row],[Unit_Price]]-Table1[[#This Row],[Negotiated_Price]]</f>
        <v>5.9600000000000009</v>
      </c>
      <c r="N571" s="3">
        <f>(Table1[[#This Row],[Unit_Price]]-Table1[[#This Row],[Negotiated_Price]])/Table1[[#This Row],[Unit_Price]]</f>
        <v>0.1018803418803419</v>
      </c>
      <c r="O571">
        <v>170</v>
      </c>
      <c r="P571" t="s">
        <v>27</v>
      </c>
      <c r="Q571">
        <f>IF(Table1[[#This Row],[Compliance]]="Yes", 1, 0)</f>
        <v>0</v>
      </c>
    </row>
    <row r="572" spans="1:17" x14ac:dyDescent="0.35">
      <c r="A572" t="s">
        <v>597</v>
      </c>
      <c r="B572" t="s">
        <v>20</v>
      </c>
      <c r="C572" s="1">
        <v>45253</v>
      </c>
      <c r="D572" s="1">
        <v>45261</v>
      </c>
      <c r="E572" s="1">
        <f>SUM(Table1[[#This Row],[Delivery_Date]]-Table1[[#This Row],[Order_Date]])</f>
        <v>8</v>
      </c>
      <c r="F572" t="s">
        <v>39</v>
      </c>
      <c r="G572" t="s">
        <v>35</v>
      </c>
      <c r="H572">
        <v>933</v>
      </c>
      <c r="I572" s="4">
        <v>70.72</v>
      </c>
      <c r="J572" s="4">
        <v>65.47</v>
      </c>
      <c r="K572" s="4">
        <f>Table1[[#This Row],[Quantity]]*Table1[[#This Row],[Negotiated_Price]]</f>
        <v>61083.51</v>
      </c>
      <c r="L572" s="4">
        <f>Table1[[#This Row],[Quantity]]*Table1[[#This Row],[Unit_Price]]</f>
        <v>65981.759999999995</v>
      </c>
      <c r="M572" s="4">
        <f>Table1[[#This Row],[Unit_Price]]-Table1[[#This Row],[Negotiated_Price]]</f>
        <v>5.25</v>
      </c>
      <c r="N572" s="3">
        <f>(Table1[[#This Row],[Unit_Price]]-Table1[[#This Row],[Negotiated_Price]])/Table1[[#This Row],[Unit_Price]]</f>
        <v>7.4236425339366516E-2</v>
      </c>
      <c r="O572">
        <v>42</v>
      </c>
      <c r="P572" t="s">
        <v>15</v>
      </c>
      <c r="Q572">
        <f>IF(Table1[[#This Row],[Compliance]]="Yes", 1, 0)</f>
        <v>1</v>
      </c>
    </row>
    <row r="573" spans="1:17" hidden="1" x14ac:dyDescent="0.35">
      <c r="A573" t="s">
        <v>598</v>
      </c>
      <c r="B573" t="s">
        <v>17</v>
      </c>
      <c r="C573" s="1">
        <v>44780</v>
      </c>
      <c r="E573" s="1">
        <f>SUM(Table1[[#This Row],[Delivery_Date]]-Table1[[#This Row],[Order_Date]])</f>
        <v>-44780</v>
      </c>
      <c r="F573" t="s">
        <v>26</v>
      </c>
      <c r="G573" t="s">
        <v>18</v>
      </c>
      <c r="H573">
        <v>1423</v>
      </c>
      <c r="I573">
        <v>41.48</v>
      </c>
      <c r="J573">
        <v>40.9</v>
      </c>
      <c r="K573">
        <f>Table1[[#This Row],[Quantity]]*Table1[[#This Row],[Negotiated_Price]]</f>
        <v>58200.7</v>
      </c>
      <c r="L573" s="5">
        <f>Table1[[#This Row],[Quantity]]*Table1[[#This Row],[Unit_Price]]</f>
        <v>59026.039999999994</v>
      </c>
      <c r="M573">
        <f>Table1[[#This Row],[Unit_Price]]-Table1[[#This Row],[Negotiated_Price]]</f>
        <v>0.57999999999999829</v>
      </c>
      <c r="N573" s="2">
        <f>(Table1[[#This Row],[Unit_Price]]-Table1[[#This Row],[Negotiated_Price]])/Table1[[#This Row],[Unit_Price]]</f>
        <v>1.3982642237222717E-2</v>
      </c>
      <c r="O573">
        <v>199</v>
      </c>
      <c r="P573" t="s">
        <v>15</v>
      </c>
      <c r="Q573">
        <f>IF(Table1[[#This Row],[Compliance]]="Yes", 1, 0)</f>
        <v>1</v>
      </c>
    </row>
    <row r="574" spans="1:17" x14ac:dyDescent="0.35">
      <c r="A574" t="s">
        <v>599</v>
      </c>
      <c r="B574" t="s">
        <v>17</v>
      </c>
      <c r="C574" s="1">
        <v>45085</v>
      </c>
      <c r="D574" s="1">
        <v>45091</v>
      </c>
      <c r="E574" s="1">
        <f>SUM(Table1[[#This Row],[Delivery_Date]]-Table1[[#This Row],[Order_Date]])</f>
        <v>6</v>
      </c>
      <c r="F574" t="s">
        <v>21</v>
      </c>
      <c r="G574" t="s">
        <v>18</v>
      </c>
      <c r="H574">
        <v>96</v>
      </c>
      <c r="I574" s="4">
        <v>86.13</v>
      </c>
      <c r="J574" s="4">
        <v>80.319999999999993</v>
      </c>
      <c r="K574" s="4">
        <f>Table1[[#This Row],[Quantity]]*Table1[[#This Row],[Negotiated_Price]]</f>
        <v>7710.7199999999993</v>
      </c>
      <c r="L574" s="4">
        <f>Table1[[#This Row],[Quantity]]*Table1[[#This Row],[Unit_Price]]</f>
        <v>8268.48</v>
      </c>
      <c r="M574" s="4">
        <f>Table1[[#This Row],[Unit_Price]]-Table1[[#This Row],[Negotiated_Price]]</f>
        <v>5.8100000000000023</v>
      </c>
      <c r="N574" s="3">
        <f>(Table1[[#This Row],[Unit_Price]]-Table1[[#This Row],[Negotiated_Price]])/Table1[[#This Row],[Unit_Price]]</f>
        <v>6.7456170904446791E-2</v>
      </c>
      <c r="O574">
        <v>12</v>
      </c>
      <c r="P574" t="s">
        <v>27</v>
      </c>
      <c r="Q574">
        <f>IF(Table1[[#This Row],[Compliance]]="Yes", 1, 0)</f>
        <v>0</v>
      </c>
    </row>
    <row r="575" spans="1:17" x14ac:dyDescent="0.35">
      <c r="A575" t="s">
        <v>600</v>
      </c>
      <c r="B575" t="s">
        <v>29</v>
      </c>
      <c r="C575" s="1">
        <v>45046</v>
      </c>
      <c r="D575" s="1">
        <v>45059</v>
      </c>
      <c r="E575" s="1">
        <f>SUM(Table1[[#This Row],[Delivery_Date]]-Table1[[#This Row],[Order_Date]])</f>
        <v>13</v>
      </c>
      <c r="F575" t="s">
        <v>21</v>
      </c>
      <c r="G575" t="s">
        <v>18</v>
      </c>
      <c r="H575">
        <v>916</v>
      </c>
      <c r="I575" s="4">
        <v>21.06</v>
      </c>
      <c r="J575" s="4">
        <v>19.53</v>
      </c>
      <c r="K575" s="4">
        <f>Table1[[#This Row],[Quantity]]*Table1[[#This Row],[Negotiated_Price]]</f>
        <v>17889.48</v>
      </c>
      <c r="L575" s="4">
        <f>Table1[[#This Row],[Quantity]]*Table1[[#This Row],[Unit_Price]]</f>
        <v>19290.96</v>
      </c>
      <c r="M575" s="4">
        <f>Table1[[#This Row],[Unit_Price]]-Table1[[#This Row],[Negotiated_Price]]</f>
        <v>1.5299999999999976</v>
      </c>
      <c r="N575" s="3">
        <f>(Table1[[#This Row],[Unit_Price]]-Table1[[#This Row],[Negotiated_Price]])/Table1[[#This Row],[Unit_Price]]</f>
        <v>7.2649572649572544E-2</v>
      </c>
      <c r="O575">
        <v>25</v>
      </c>
      <c r="P575" t="s">
        <v>15</v>
      </c>
      <c r="Q575">
        <f>IF(Table1[[#This Row],[Compliance]]="Yes", 1, 0)</f>
        <v>1</v>
      </c>
    </row>
    <row r="576" spans="1:17" hidden="1" x14ac:dyDescent="0.35">
      <c r="A576" t="s">
        <v>601</v>
      </c>
      <c r="B576" t="s">
        <v>29</v>
      </c>
      <c r="C576" s="1">
        <v>44735</v>
      </c>
      <c r="E576" s="1">
        <f>SUM(Table1[[#This Row],[Delivery_Date]]-Table1[[#This Row],[Order_Date]])</f>
        <v>-44735</v>
      </c>
      <c r="F576" t="s">
        <v>26</v>
      </c>
      <c r="G576" t="s">
        <v>18</v>
      </c>
      <c r="H576">
        <v>872</v>
      </c>
      <c r="I576">
        <v>17.18</v>
      </c>
      <c r="J576">
        <v>16.63</v>
      </c>
      <c r="K576">
        <f>Table1[[#This Row],[Quantity]]*Table1[[#This Row],[Negotiated_Price]]</f>
        <v>14501.359999999999</v>
      </c>
      <c r="L576" s="5">
        <f>Table1[[#This Row],[Quantity]]*Table1[[#This Row],[Unit_Price]]</f>
        <v>14980.96</v>
      </c>
      <c r="M576">
        <f>Table1[[#This Row],[Unit_Price]]-Table1[[#This Row],[Negotiated_Price]]</f>
        <v>0.55000000000000071</v>
      </c>
      <c r="N576" s="2">
        <f>(Table1[[#This Row],[Unit_Price]]-Table1[[#This Row],[Negotiated_Price]])/Table1[[#This Row],[Unit_Price]]</f>
        <v>3.2013969732246843E-2</v>
      </c>
      <c r="O576">
        <v>20</v>
      </c>
      <c r="P576" t="s">
        <v>15</v>
      </c>
      <c r="Q576">
        <f>IF(Table1[[#This Row],[Compliance]]="Yes", 1, 0)</f>
        <v>1</v>
      </c>
    </row>
    <row r="577" spans="1:17" x14ac:dyDescent="0.35">
      <c r="A577" t="s">
        <v>602</v>
      </c>
      <c r="B577" t="s">
        <v>23</v>
      </c>
      <c r="C577" s="1">
        <v>45236</v>
      </c>
      <c r="D577" s="1">
        <v>45245</v>
      </c>
      <c r="E577" s="1">
        <f>SUM(Table1[[#This Row],[Delivery_Date]]-Table1[[#This Row],[Order_Date]])</f>
        <v>9</v>
      </c>
      <c r="F577" t="s">
        <v>39</v>
      </c>
      <c r="G577" t="s">
        <v>18</v>
      </c>
      <c r="H577">
        <v>985</v>
      </c>
      <c r="I577" s="4">
        <v>83.85</v>
      </c>
      <c r="J577" s="4">
        <v>80.88</v>
      </c>
      <c r="K577" s="4">
        <f>Table1[[#This Row],[Quantity]]*Table1[[#This Row],[Negotiated_Price]]</f>
        <v>79666.799999999988</v>
      </c>
      <c r="L577" s="4">
        <f>Table1[[#This Row],[Quantity]]*Table1[[#This Row],[Unit_Price]]</f>
        <v>82592.25</v>
      </c>
      <c r="M577" s="4">
        <f>Table1[[#This Row],[Unit_Price]]-Table1[[#This Row],[Negotiated_Price]]</f>
        <v>2.9699999999999989</v>
      </c>
      <c r="N577" s="3">
        <f>(Table1[[#This Row],[Unit_Price]]-Table1[[#This Row],[Negotiated_Price]])/Table1[[#This Row],[Unit_Price]]</f>
        <v>3.5420393559928431E-2</v>
      </c>
      <c r="P577" t="s">
        <v>27</v>
      </c>
      <c r="Q577">
        <f>IF(Table1[[#This Row],[Compliance]]="Yes", 1, 0)</f>
        <v>0</v>
      </c>
    </row>
    <row r="578" spans="1:17" x14ac:dyDescent="0.35">
      <c r="A578" t="s">
        <v>603</v>
      </c>
      <c r="B578" t="s">
        <v>20</v>
      </c>
      <c r="C578" s="1">
        <v>44648</v>
      </c>
      <c r="D578" s="1">
        <v>44655</v>
      </c>
      <c r="E578" s="1">
        <f>SUM(Table1[[#This Row],[Delivery_Date]]-Table1[[#This Row],[Order_Date]])</f>
        <v>7</v>
      </c>
      <c r="F578" t="s">
        <v>26</v>
      </c>
      <c r="G578" t="s">
        <v>18</v>
      </c>
      <c r="H578">
        <v>1893</v>
      </c>
      <c r="I578" s="4">
        <v>55.14</v>
      </c>
      <c r="J578" s="4">
        <v>50.1</v>
      </c>
      <c r="K578" s="4">
        <f>Table1[[#This Row],[Quantity]]*Table1[[#This Row],[Negotiated_Price]]</f>
        <v>94839.3</v>
      </c>
      <c r="L578" s="4">
        <f>Table1[[#This Row],[Quantity]]*Table1[[#This Row],[Unit_Price]]</f>
        <v>104380.02</v>
      </c>
      <c r="M578" s="4">
        <f>Table1[[#This Row],[Unit_Price]]-Table1[[#This Row],[Negotiated_Price]]</f>
        <v>5.0399999999999991</v>
      </c>
      <c r="N578" s="3">
        <f>(Table1[[#This Row],[Unit_Price]]-Table1[[#This Row],[Negotiated_Price]])/Table1[[#This Row],[Unit_Price]]</f>
        <v>9.14036996735582E-2</v>
      </c>
      <c r="O578">
        <v>98</v>
      </c>
      <c r="P578" t="s">
        <v>15</v>
      </c>
      <c r="Q578">
        <f>IF(Table1[[#This Row],[Compliance]]="Yes", 1, 0)</f>
        <v>1</v>
      </c>
    </row>
    <row r="579" spans="1:17" hidden="1" x14ac:dyDescent="0.35">
      <c r="A579" t="s">
        <v>604</v>
      </c>
      <c r="B579" t="s">
        <v>12</v>
      </c>
      <c r="C579" s="1">
        <v>44852</v>
      </c>
      <c r="E579" s="1">
        <f>SUM(Table1[[#This Row],[Delivery_Date]]-Table1[[#This Row],[Order_Date]])</f>
        <v>-44852</v>
      </c>
      <c r="F579" t="s">
        <v>21</v>
      </c>
      <c r="G579" t="s">
        <v>18</v>
      </c>
      <c r="H579">
        <v>705</v>
      </c>
      <c r="I579">
        <v>75.19</v>
      </c>
      <c r="J579">
        <v>69.55</v>
      </c>
      <c r="K579">
        <f>Table1[[#This Row],[Quantity]]*Table1[[#This Row],[Negotiated_Price]]</f>
        <v>49032.75</v>
      </c>
      <c r="L579" s="5">
        <f>Table1[[#This Row],[Quantity]]*Table1[[#This Row],[Unit_Price]]</f>
        <v>53008.95</v>
      </c>
      <c r="M579">
        <f>Table1[[#This Row],[Unit_Price]]-Table1[[#This Row],[Negotiated_Price]]</f>
        <v>5.6400000000000006</v>
      </c>
      <c r="N579" s="2">
        <f>(Table1[[#This Row],[Unit_Price]]-Table1[[#This Row],[Negotiated_Price]])/Table1[[#This Row],[Unit_Price]]</f>
        <v>7.5009974730682286E-2</v>
      </c>
      <c r="O579">
        <v>19</v>
      </c>
      <c r="P579" t="s">
        <v>15</v>
      </c>
      <c r="Q579">
        <f>IF(Table1[[#This Row],[Compliance]]="Yes", 1, 0)</f>
        <v>1</v>
      </c>
    </row>
    <row r="580" spans="1:17" x14ac:dyDescent="0.35">
      <c r="A580" t="s">
        <v>605</v>
      </c>
      <c r="B580" t="s">
        <v>17</v>
      </c>
      <c r="C580" s="1">
        <v>45089</v>
      </c>
      <c r="D580" s="1">
        <v>45105</v>
      </c>
      <c r="E580" s="1">
        <f>SUM(Table1[[#This Row],[Delivery_Date]]-Table1[[#This Row],[Order_Date]])</f>
        <v>16</v>
      </c>
      <c r="F580" t="s">
        <v>21</v>
      </c>
      <c r="G580" t="s">
        <v>18</v>
      </c>
      <c r="H580">
        <v>318</v>
      </c>
      <c r="I580" s="4">
        <v>53.31</v>
      </c>
      <c r="J580" s="4">
        <v>51.78</v>
      </c>
      <c r="K580" s="4">
        <f>Table1[[#This Row],[Quantity]]*Table1[[#This Row],[Negotiated_Price]]</f>
        <v>16466.04</v>
      </c>
      <c r="L580" s="4">
        <f>Table1[[#This Row],[Quantity]]*Table1[[#This Row],[Unit_Price]]</f>
        <v>16952.580000000002</v>
      </c>
      <c r="M580" s="4">
        <f>Table1[[#This Row],[Unit_Price]]-Table1[[#This Row],[Negotiated_Price]]</f>
        <v>1.5300000000000011</v>
      </c>
      <c r="N580" s="3">
        <f>(Table1[[#This Row],[Unit_Price]]-Table1[[#This Row],[Negotiated_Price]])/Table1[[#This Row],[Unit_Price]]</f>
        <v>2.8700056274620165E-2</v>
      </c>
      <c r="P580" t="s">
        <v>27</v>
      </c>
      <c r="Q580">
        <f>IF(Table1[[#This Row],[Compliance]]="Yes", 1, 0)</f>
        <v>0</v>
      </c>
    </row>
    <row r="581" spans="1:17" x14ac:dyDescent="0.35">
      <c r="A581" t="s">
        <v>606</v>
      </c>
      <c r="B581" t="s">
        <v>12</v>
      </c>
      <c r="C581" s="1">
        <v>45241</v>
      </c>
      <c r="D581" s="1">
        <v>45246</v>
      </c>
      <c r="E581" s="1">
        <f>SUM(Table1[[#This Row],[Delivery_Date]]-Table1[[#This Row],[Order_Date]])</f>
        <v>5</v>
      </c>
      <c r="F581" t="s">
        <v>13</v>
      </c>
      <c r="G581" t="s">
        <v>35</v>
      </c>
      <c r="H581">
        <v>419</v>
      </c>
      <c r="I581" s="4">
        <v>35.72</v>
      </c>
      <c r="J581" s="4">
        <v>32.74</v>
      </c>
      <c r="K581" s="4">
        <f>Table1[[#This Row],[Quantity]]*Table1[[#This Row],[Negotiated_Price]]</f>
        <v>13718.060000000001</v>
      </c>
      <c r="L581" s="4">
        <f>Table1[[#This Row],[Quantity]]*Table1[[#This Row],[Unit_Price]]</f>
        <v>14966.68</v>
      </c>
      <c r="M581" s="4">
        <f>Table1[[#This Row],[Unit_Price]]-Table1[[#This Row],[Negotiated_Price]]</f>
        <v>2.9799999999999969</v>
      </c>
      <c r="N581" s="3">
        <f>(Table1[[#This Row],[Unit_Price]]-Table1[[#This Row],[Negotiated_Price]])/Table1[[#This Row],[Unit_Price]]</f>
        <v>8.3426651735722196E-2</v>
      </c>
      <c r="O581">
        <v>7</v>
      </c>
      <c r="P581" t="s">
        <v>15</v>
      </c>
      <c r="Q581">
        <f>IF(Table1[[#This Row],[Compliance]]="Yes", 1, 0)</f>
        <v>1</v>
      </c>
    </row>
    <row r="582" spans="1:17" x14ac:dyDescent="0.35">
      <c r="A582" t="s">
        <v>607</v>
      </c>
      <c r="B582" t="s">
        <v>20</v>
      </c>
      <c r="C582" s="1">
        <v>45210</v>
      </c>
      <c r="D582" s="1">
        <v>45225</v>
      </c>
      <c r="E582" s="1">
        <f>SUM(Table1[[#This Row],[Delivery_Date]]-Table1[[#This Row],[Order_Date]])</f>
        <v>15</v>
      </c>
      <c r="F582" t="s">
        <v>21</v>
      </c>
      <c r="G582" t="s">
        <v>18</v>
      </c>
      <c r="H582">
        <v>685</v>
      </c>
      <c r="I582" s="4">
        <v>92.51</v>
      </c>
      <c r="J582" s="4">
        <v>90.05</v>
      </c>
      <c r="K582" s="4">
        <f>Table1[[#This Row],[Quantity]]*Table1[[#This Row],[Negotiated_Price]]</f>
        <v>61684.25</v>
      </c>
      <c r="L582" s="4">
        <f>Table1[[#This Row],[Quantity]]*Table1[[#This Row],[Unit_Price]]</f>
        <v>63369.350000000006</v>
      </c>
      <c r="M582" s="4">
        <f>Table1[[#This Row],[Unit_Price]]-Table1[[#This Row],[Negotiated_Price]]</f>
        <v>2.460000000000008</v>
      </c>
      <c r="N582" s="3">
        <f>(Table1[[#This Row],[Unit_Price]]-Table1[[#This Row],[Negotiated_Price]])/Table1[[#This Row],[Unit_Price]]</f>
        <v>2.6591719814074238E-2</v>
      </c>
      <c r="O582">
        <v>38</v>
      </c>
      <c r="P582" t="s">
        <v>15</v>
      </c>
      <c r="Q582">
        <f>IF(Table1[[#This Row],[Compliance]]="Yes", 1, 0)</f>
        <v>1</v>
      </c>
    </row>
    <row r="583" spans="1:17" x14ac:dyDescent="0.35">
      <c r="A583" t="s">
        <v>608</v>
      </c>
      <c r="B583" t="s">
        <v>17</v>
      </c>
      <c r="C583" s="1">
        <v>45196</v>
      </c>
      <c r="D583" s="1">
        <v>45211</v>
      </c>
      <c r="E583" s="1">
        <f>SUM(Table1[[#This Row],[Delivery_Date]]-Table1[[#This Row],[Order_Date]])</f>
        <v>15</v>
      </c>
      <c r="F583" t="s">
        <v>13</v>
      </c>
      <c r="G583" t="s">
        <v>33</v>
      </c>
      <c r="H583">
        <v>1179</v>
      </c>
      <c r="I583" s="4">
        <v>90.14</v>
      </c>
      <c r="J583" s="4">
        <v>82.63</v>
      </c>
      <c r="K583" s="4">
        <f>Table1[[#This Row],[Quantity]]*Table1[[#This Row],[Negotiated_Price]]</f>
        <v>97420.76999999999</v>
      </c>
      <c r="L583" s="4">
        <f>Table1[[#This Row],[Quantity]]*Table1[[#This Row],[Unit_Price]]</f>
        <v>106275.06</v>
      </c>
      <c r="M583" s="4">
        <f>Table1[[#This Row],[Unit_Price]]-Table1[[#This Row],[Negotiated_Price]]</f>
        <v>7.5100000000000051</v>
      </c>
      <c r="N583" s="3">
        <f>(Table1[[#This Row],[Unit_Price]]-Table1[[#This Row],[Negotiated_Price]])/Table1[[#This Row],[Unit_Price]]</f>
        <v>8.3314843576658582E-2</v>
      </c>
      <c r="O583">
        <v>194</v>
      </c>
      <c r="P583" t="s">
        <v>15</v>
      </c>
      <c r="Q583">
        <f>IF(Table1[[#This Row],[Compliance]]="Yes", 1, 0)</f>
        <v>1</v>
      </c>
    </row>
    <row r="584" spans="1:17" hidden="1" x14ac:dyDescent="0.35">
      <c r="A584" t="s">
        <v>609</v>
      </c>
      <c r="B584" t="s">
        <v>12</v>
      </c>
      <c r="C584" s="1">
        <v>44905</v>
      </c>
      <c r="E584" s="1">
        <f>SUM(Table1[[#This Row],[Delivery_Date]]-Table1[[#This Row],[Order_Date]])</f>
        <v>-44905</v>
      </c>
      <c r="F584" t="s">
        <v>26</v>
      </c>
      <c r="G584" t="s">
        <v>18</v>
      </c>
      <c r="H584">
        <v>1743</v>
      </c>
      <c r="I584">
        <v>76.510000000000005</v>
      </c>
      <c r="J584">
        <v>65.88</v>
      </c>
      <c r="K584">
        <f>Table1[[#This Row],[Quantity]]*Table1[[#This Row],[Negotiated_Price]]</f>
        <v>114828.84</v>
      </c>
      <c r="L584" s="5">
        <f>Table1[[#This Row],[Quantity]]*Table1[[#This Row],[Unit_Price]]</f>
        <v>133356.93000000002</v>
      </c>
      <c r="M584">
        <f>Table1[[#This Row],[Unit_Price]]-Table1[[#This Row],[Negotiated_Price]]</f>
        <v>10.63000000000001</v>
      </c>
      <c r="N584" s="2">
        <f>(Table1[[#This Row],[Unit_Price]]-Table1[[#This Row],[Negotiated_Price]])/Table1[[#This Row],[Unit_Price]]</f>
        <v>0.13893608678604116</v>
      </c>
      <c r="O584">
        <v>40</v>
      </c>
      <c r="P584" t="s">
        <v>15</v>
      </c>
      <c r="Q584">
        <f>IF(Table1[[#This Row],[Compliance]]="Yes", 1, 0)</f>
        <v>1</v>
      </c>
    </row>
    <row r="585" spans="1:17" x14ac:dyDescent="0.35">
      <c r="A585" t="s">
        <v>610</v>
      </c>
      <c r="B585" t="s">
        <v>12</v>
      </c>
      <c r="C585" s="1">
        <v>44657</v>
      </c>
      <c r="D585" s="1">
        <v>44668</v>
      </c>
      <c r="E585" s="1">
        <f>SUM(Table1[[#This Row],[Delivery_Date]]-Table1[[#This Row],[Order_Date]])</f>
        <v>11</v>
      </c>
      <c r="F585" t="s">
        <v>21</v>
      </c>
      <c r="G585" t="s">
        <v>18</v>
      </c>
      <c r="H585">
        <v>1732</v>
      </c>
      <c r="I585" s="4">
        <v>35.01</v>
      </c>
      <c r="J585" s="4">
        <v>34.18</v>
      </c>
      <c r="K585" s="4">
        <f>Table1[[#This Row],[Quantity]]*Table1[[#This Row],[Negotiated_Price]]</f>
        <v>59199.76</v>
      </c>
      <c r="L585" s="4">
        <f>Table1[[#This Row],[Quantity]]*Table1[[#This Row],[Unit_Price]]</f>
        <v>60637.32</v>
      </c>
      <c r="M585" s="4">
        <f>Table1[[#This Row],[Unit_Price]]-Table1[[#This Row],[Negotiated_Price]]</f>
        <v>0.82999999999999829</v>
      </c>
      <c r="N585" s="3">
        <f>(Table1[[#This Row],[Unit_Price]]-Table1[[#This Row],[Negotiated_Price]])/Table1[[#This Row],[Unit_Price]]</f>
        <v>2.3707512139388699E-2</v>
      </c>
      <c r="O585">
        <v>40</v>
      </c>
      <c r="P585" t="s">
        <v>15</v>
      </c>
      <c r="Q585">
        <f>IF(Table1[[#This Row],[Compliance]]="Yes", 1, 0)</f>
        <v>1</v>
      </c>
    </row>
    <row r="586" spans="1:17" x14ac:dyDescent="0.35">
      <c r="A586" t="s">
        <v>611</v>
      </c>
      <c r="B586" t="s">
        <v>23</v>
      </c>
      <c r="C586" s="1">
        <v>44802</v>
      </c>
      <c r="D586" s="1">
        <v>44805</v>
      </c>
      <c r="E586" s="1">
        <f>SUM(Table1[[#This Row],[Delivery_Date]]-Table1[[#This Row],[Order_Date]])</f>
        <v>3</v>
      </c>
      <c r="F586" t="s">
        <v>13</v>
      </c>
      <c r="G586" t="s">
        <v>18</v>
      </c>
      <c r="H586">
        <v>706</v>
      </c>
      <c r="I586" s="4">
        <v>65.33</v>
      </c>
      <c r="J586" s="4">
        <v>62.06</v>
      </c>
      <c r="K586" s="4">
        <f>Table1[[#This Row],[Quantity]]*Table1[[#This Row],[Negotiated_Price]]</f>
        <v>43814.36</v>
      </c>
      <c r="L586" s="4">
        <f>Table1[[#This Row],[Quantity]]*Table1[[#This Row],[Unit_Price]]</f>
        <v>46122.979999999996</v>
      </c>
      <c r="M586" s="4">
        <f>Table1[[#This Row],[Unit_Price]]-Table1[[#This Row],[Negotiated_Price]]</f>
        <v>3.269999999999996</v>
      </c>
      <c r="N586" s="3">
        <f>(Table1[[#This Row],[Unit_Price]]-Table1[[#This Row],[Negotiated_Price]])/Table1[[#This Row],[Unit_Price]]</f>
        <v>5.005357416194698E-2</v>
      </c>
      <c r="O586">
        <v>60</v>
      </c>
      <c r="P586" t="s">
        <v>27</v>
      </c>
      <c r="Q586">
        <f>IF(Table1[[#This Row],[Compliance]]="Yes", 1, 0)</f>
        <v>0</v>
      </c>
    </row>
    <row r="587" spans="1:17" x14ac:dyDescent="0.35">
      <c r="A587" t="s">
        <v>612</v>
      </c>
      <c r="B587" t="s">
        <v>20</v>
      </c>
      <c r="C587" s="1">
        <v>45250</v>
      </c>
      <c r="D587" s="1">
        <v>45260</v>
      </c>
      <c r="E587" s="1">
        <f>SUM(Table1[[#This Row],[Delivery_Date]]-Table1[[#This Row],[Order_Date]])</f>
        <v>10</v>
      </c>
      <c r="F587" t="s">
        <v>21</v>
      </c>
      <c r="G587" t="s">
        <v>14</v>
      </c>
      <c r="H587">
        <v>169</v>
      </c>
      <c r="I587" s="4">
        <v>47.16</v>
      </c>
      <c r="J587" s="4">
        <v>43.4</v>
      </c>
      <c r="K587" s="4">
        <f>Table1[[#This Row],[Quantity]]*Table1[[#This Row],[Negotiated_Price]]</f>
        <v>7334.5999999999995</v>
      </c>
      <c r="L587" s="4">
        <f>Table1[[#This Row],[Quantity]]*Table1[[#This Row],[Unit_Price]]</f>
        <v>7970.0399999999991</v>
      </c>
      <c r="M587" s="4">
        <f>Table1[[#This Row],[Unit_Price]]-Table1[[#This Row],[Negotiated_Price]]</f>
        <v>3.759999999999998</v>
      </c>
      <c r="N587" s="3">
        <f>(Table1[[#This Row],[Unit_Price]]-Table1[[#This Row],[Negotiated_Price]])/Table1[[#This Row],[Unit_Price]]</f>
        <v>7.9728583545377402E-2</v>
      </c>
      <c r="P587" t="s">
        <v>15</v>
      </c>
      <c r="Q587">
        <f>IF(Table1[[#This Row],[Compliance]]="Yes", 1, 0)</f>
        <v>1</v>
      </c>
    </row>
    <row r="588" spans="1:17" x14ac:dyDescent="0.35">
      <c r="A588" t="s">
        <v>613</v>
      </c>
      <c r="B588" t="s">
        <v>20</v>
      </c>
      <c r="C588" s="1">
        <v>44879</v>
      </c>
      <c r="D588" s="1">
        <v>44885</v>
      </c>
      <c r="E588" s="1">
        <f>SUM(Table1[[#This Row],[Delivery_Date]]-Table1[[#This Row],[Order_Date]])</f>
        <v>6</v>
      </c>
      <c r="F588" t="s">
        <v>13</v>
      </c>
      <c r="G588" t="s">
        <v>35</v>
      </c>
      <c r="H588">
        <v>880</v>
      </c>
      <c r="I588" s="4">
        <v>19.149999999999999</v>
      </c>
      <c r="J588" s="4">
        <v>18.690000000000001</v>
      </c>
      <c r="K588" s="4">
        <f>Table1[[#This Row],[Quantity]]*Table1[[#This Row],[Negotiated_Price]]</f>
        <v>16447.2</v>
      </c>
      <c r="L588" s="4">
        <f>Table1[[#This Row],[Quantity]]*Table1[[#This Row],[Unit_Price]]</f>
        <v>16852</v>
      </c>
      <c r="M588" s="4">
        <f>Table1[[#This Row],[Unit_Price]]-Table1[[#This Row],[Negotiated_Price]]</f>
        <v>0.4599999999999973</v>
      </c>
      <c r="N588" s="3">
        <f>(Table1[[#This Row],[Unit_Price]]-Table1[[#This Row],[Negotiated_Price]])/Table1[[#This Row],[Unit_Price]]</f>
        <v>2.4020887728459391E-2</v>
      </c>
      <c r="P588" t="s">
        <v>27</v>
      </c>
      <c r="Q588">
        <f>IF(Table1[[#This Row],[Compliance]]="Yes", 1, 0)</f>
        <v>0</v>
      </c>
    </row>
    <row r="589" spans="1:17" x14ac:dyDescent="0.35">
      <c r="A589" t="s">
        <v>614</v>
      </c>
      <c r="B589" t="s">
        <v>20</v>
      </c>
      <c r="C589" s="1">
        <v>44792</v>
      </c>
      <c r="D589" s="1">
        <v>44798</v>
      </c>
      <c r="E589" s="1">
        <f>SUM(Table1[[#This Row],[Delivery_Date]]-Table1[[#This Row],[Order_Date]])</f>
        <v>6</v>
      </c>
      <c r="F589" t="s">
        <v>21</v>
      </c>
      <c r="G589" t="s">
        <v>18</v>
      </c>
      <c r="H589">
        <v>1860</v>
      </c>
      <c r="I589" s="4">
        <v>95.8</v>
      </c>
      <c r="J589" s="4">
        <v>92.17</v>
      </c>
      <c r="K589" s="4">
        <f>Table1[[#This Row],[Quantity]]*Table1[[#This Row],[Negotiated_Price]]</f>
        <v>171436.2</v>
      </c>
      <c r="L589" s="4">
        <f>Table1[[#This Row],[Quantity]]*Table1[[#This Row],[Unit_Price]]</f>
        <v>178188</v>
      </c>
      <c r="M589" s="4">
        <f>Table1[[#This Row],[Unit_Price]]-Table1[[#This Row],[Negotiated_Price]]</f>
        <v>3.6299999999999955</v>
      </c>
      <c r="N589" s="3">
        <f>(Table1[[#This Row],[Unit_Price]]-Table1[[#This Row],[Negotiated_Price]])/Table1[[#This Row],[Unit_Price]]</f>
        <v>3.7891440501043795E-2</v>
      </c>
      <c r="O589">
        <v>105</v>
      </c>
      <c r="P589" t="s">
        <v>27</v>
      </c>
      <c r="Q589">
        <f>IF(Table1[[#This Row],[Compliance]]="Yes", 1, 0)</f>
        <v>0</v>
      </c>
    </row>
    <row r="590" spans="1:17" x14ac:dyDescent="0.35">
      <c r="A590" t="s">
        <v>615</v>
      </c>
      <c r="B590" t="s">
        <v>17</v>
      </c>
      <c r="C590" s="1">
        <v>44765</v>
      </c>
      <c r="D590" s="1">
        <v>44782</v>
      </c>
      <c r="E590" s="1">
        <f>SUM(Table1[[#This Row],[Delivery_Date]]-Table1[[#This Row],[Order_Date]])</f>
        <v>17</v>
      </c>
      <c r="F590" t="s">
        <v>21</v>
      </c>
      <c r="G590" t="s">
        <v>18</v>
      </c>
      <c r="H590">
        <v>1677</v>
      </c>
      <c r="I590" s="4">
        <v>22.98</v>
      </c>
      <c r="J590" s="4">
        <v>21.71</v>
      </c>
      <c r="K590" s="4">
        <f>Table1[[#This Row],[Quantity]]*Table1[[#This Row],[Negotiated_Price]]</f>
        <v>36407.67</v>
      </c>
      <c r="L590" s="4">
        <f>Table1[[#This Row],[Quantity]]*Table1[[#This Row],[Unit_Price]]</f>
        <v>38537.46</v>
      </c>
      <c r="M590" s="4">
        <f>Table1[[#This Row],[Unit_Price]]-Table1[[#This Row],[Negotiated_Price]]</f>
        <v>1.2699999999999996</v>
      </c>
      <c r="N590" s="3">
        <f>(Table1[[#This Row],[Unit_Price]]-Table1[[#This Row],[Negotiated_Price]])/Table1[[#This Row],[Unit_Price]]</f>
        <v>5.5265448215839841E-2</v>
      </c>
      <c r="O590">
        <v>246</v>
      </c>
      <c r="P590" t="s">
        <v>15</v>
      </c>
      <c r="Q590">
        <f>IF(Table1[[#This Row],[Compliance]]="Yes", 1, 0)</f>
        <v>1</v>
      </c>
    </row>
    <row r="591" spans="1:17" x14ac:dyDescent="0.35">
      <c r="A591" t="s">
        <v>616</v>
      </c>
      <c r="B591" t="s">
        <v>23</v>
      </c>
      <c r="C591" s="1">
        <v>44712</v>
      </c>
      <c r="D591" s="1">
        <v>44719</v>
      </c>
      <c r="E591" s="1">
        <f>SUM(Table1[[#This Row],[Delivery_Date]]-Table1[[#This Row],[Order_Date]])</f>
        <v>7</v>
      </c>
      <c r="F591" t="s">
        <v>24</v>
      </c>
      <c r="G591" t="s">
        <v>33</v>
      </c>
      <c r="H591">
        <v>1131</v>
      </c>
      <c r="I591" s="4">
        <v>97.43</v>
      </c>
      <c r="J591" s="4">
        <v>91.28</v>
      </c>
      <c r="K591" s="4">
        <f>Table1[[#This Row],[Quantity]]*Table1[[#This Row],[Negotiated_Price]]</f>
        <v>103237.68000000001</v>
      </c>
      <c r="L591" s="4">
        <f>Table1[[#This Row],[Quantity]]*Table1[[#This Row],[Unit_Price]]</f>
        <v>110193.33</v>
      </c>
      <c r="M591" s="4">
        <f>Table1[[#This Row],[Unit_Price]]-Table1[[#This Row],[Negotiated_Price]]</f>
        <v>6.1500000000000057</v>
      </c>
      <c r="N591" s="3">
        <f>(Table1[[#This Row],[Unit_Price]]-Table1[[#This Row],[Negotiated_Price]])/Table1[[#This Row],[Unit_Price]]</f>
        <v>6.3122241609360627E-2</v>
      </c>
      <c r="O591">
        <v>103</v>
      </c>
      <c r="P591" t="s">
        <v>15</v>
      </c>
      <c r="Q591">
        <f>IF(Table1[[#This Row],[Compliance]]="Yes", 1, 0)</f>
        <v>1</v>
      </c>
    </row>
    <row r="592" spans="1:17" x14ac:dyDescent="0.35">
      <c r="A592" t="s">
        <v>617</v>
      </c>
      <c r="B592" t="s">
        <v>29</v>
      </c>
      <c r="C592" s="1">
        <v>44587</v>
      </c>
      <c r="D592" s="1">
        <v>44595</v>
      </c>
      <c r="E592" s="1">
        <f>SUM(Table1[[#This Row],[Delivery_Date]]-Table1[[#This Row],[Order_Date]])</f>
        <v>8</v>
      </c>
      <c r="F592" t="s">
        <v>26</v>
      </c>
      <c r="G592" t="s">
        <v>14</v>
      </c>
      <c r="H592">
        <v>1419</v>
      </c>
      <c r="I592" s="4">
        <v>50.14</v>
      </c>
      <c r="J592" s="4">
        <v>43.46</v>
      </c>
      <c r="K592" s="4">
        <f>Table1[[#This Row],[Quantity]]*Table1[[#This Row],[Negotiated_Price]]</f>
        <v>61669.74</v>
      </c>
      <c r="L592" s="4">
        <f>Table1[[#This Row],[Quantity]]*Table1[[#This Row],[Unit_Price]]</f>
        <v>71148.66</v>
      </c>
      <c r="M592" s="4">
        <f>Table1[[#This Row],[Unit_Price]]-Table1[[#This Row],[Negotiated_Price]]</f>
        <v>6.68</v>
      </c>
      <c r="N592" s="3">
        <f>(Table1[[#This Row],[Unit_Price]]-Table1[[#This Row],[Negotiated_Price]])/Table1[[#This Row],[Unit_Price]]</f>
        <v>0.13322696449940166</v>
      </c>
      <c r="P592" t="s">
        <v>15</v>
      </c>
      <c r="Q592">
        <f>IF(Table1[[#This Row],[Compliance]]="Yes", 1, 0)</f>
        <v>1</v>
      </c>
    </row>
    <row r="593" spans="1:17" x14ac:dyDescent="0.35">
      <c r="A593" t="s">
        <v>618</v>
      </c>
      <c r="B593" t="s">
        <v>17</v>
      </c>
      <c r="C593" s="1">
        <v>44609</v>
      </c>
      <c r="D593" s="1">
        <v>44610</v>
      </c>
      <c r="E593" s="1">
        <f>SUM(Table1[[#This Row],[Delivery_Date]]-Table1[[#This Row],[Order_Date]])</f>
        <v>1</v>
      </c>
      <c r="F593" t="s">
        <v>26</v>
      </c>
      <c r="G593" t="s">
        <v>35</v>
      </c>
      <c r="H593">
        <v>790</v>
      </c>
      <c r="I593" s="4">
        <v>26.8</v>
      </c>
      <c r="J593" s="4">
        <v>25.62</v>
      </c>
      <c r="K593" s="4">
        <f>Table1[[#This Row],[Quantity]]*Table1[[#This Row],[Negotiated_Price]]</f>
        <v>20239.8</v>
      </c>
      <c r="L593" s="4">
        <f>Table1[[#This Row],[Quantity]]*Table1[[#This Row],[Unit_Price]]</f>
        <v>21172</v>
      </c>
      <c r="M593" s="4">
        <f>Table1[[#This Row],[Unit_Price]]-Table1[[#This Row],[Negotiated_Price]]</f>
        <v>1.1799999999999997</v>
      </c>
      <c r="N593" s="3">
        <f>(Table1[[#This Row],[Unit_Price]]-Table1[[#This Row],[Negotiated_Price]])/Table1[[#This Row],[Unit_Price]]</f>
        <v>4.4029850746268646E-2</v>
      </c>
      <c r="O593">
        <v>115</v>
      </c>
      <c r="P593" t="s">
        <v>15</v>
      </c>
      <c r="Q593">
        <f>IF(Table1[[#This Row],[Compliance]]="Yes", 1, 0)</f>
        <v>1</v>
      </c>
    </row>
    <row r="594" spans="1:17" x14ac:dyDescent="0.35">
      <c r="A594" t="s">
        <v>619</v>
      </c>
      <c r="B594" t="s">
        <v>20</v>
      </c>
      <c r="C594" s="1">
        <v>44812</v>
      </c>
      <c r="D594" s="1">
        <v>44831</v>
      </c>
      <c r="E594" s="1">
        <f>SUM(Table1[[#This Row],[Delivery_Date]]-Table1[[#This Row],[Order_Date]])</f>
        <v>19</v>
      </c>
      <c r="F594" t="s">
        <v>21</v>
      </c>
      <c r="G594" t="s">
        <v>35</v>
      </c>
      <c r="H594">
        <v>1547</v>
      </c>
      <c r="I594" s="4">
        <v>61.12</v>
      </c>
      <c r="J594" s="4">
        <v>53.43</v>
      </c>
      <c r="K594" s="4">
        <f>Table1[[#This Row],[Quantity]]*Table1[[#This Row],[Negotiated_Price]]</f>
        <v>82656.210000000006</v>
      </c>
      <c r="L594" s="4">
        <f>Table1[[#This Row],[Quantity]]*Table1[[#This Row],[Unit_Price]]</f>
        <v>94552.639999999999</v>
      </c>
      <c r="M594" s="4">
        <f>Table1[[#This Row],[Unit_Price]]-Table1[[#This Row],[Negotiated_Price]]</f>
        <v>7.6899999999999977</v>
      </c>
      <c r="N594" s="3">
        <f>(Table1[[#This Row],[Unit_Price]]-Table1[[#This Row],[Negotiated_Price]])/Table1[[#This Row],[Unit_Price]]</f>
        <v>0.1258180628272251</v>
      </c>
      <c r="O594">
        <v>77</v>
      </c>
      <c r="P594" t="s">
        <v>15</v>
      </c>
      <c r="Q594">
        <f>IF(Table1[[#This Row],[Compliance]]="Yes", 1, 0)</f>
        <v>1</v>
      </c>
    </row>
    <row r="595" spans="1:17" x14ac:dyDescent="0.35">
      <c r="A595" t="s">
        <v>620</v>
      </c>
      <c r="B595" t="s">
        <v>17</v>
      </c>
      <c r="C595" s="1">
        <v>45048</v>
      </c>
      <c r="D595" s="1">
        <v>45066</v>
      </c>
      <c r="E595" s="1">
        <f>SUM(Table1[[#This Row],[Delivery_Date]]-Table1[[#This Row],[Order_Date]])</f>
        <v>18</v>
      </c>
      <c r="F595" t="s">
        <v>13</v>
      </c>
      <c r="G595" t="s">
        <v>14</v>
      </c>
      <c r="H595">
        <v>166</v>
      </c>
      <c r="I595" s="4">
        <v>95.65</v>
      </c>
      <c r="J595" s="4">
        <v>94.48</v>
      </c>
      <c r="K595" s="4">
        <f>Table1[[#This Row],[Quantity]]*Table1[[#This Row],[Negotiated_Price]]</f>
        <v>15683.68</v>
      </c>
      <c r="L595" s="4">
        <f>Table1[[#This Row],[Quantity]]*Table1[[#This Row],[Unit_Price]]</f>
        <v>15877.900000000001</v>
      </c>
      <c r="M595" s="4">
        <f>Table1[[#This Row],[Unit_Price]]-Table1[[#This Row],[Negotiated_Price]]</f>
        <v>1.1700000000000017</v>
      </c>
      <c r="N595" s="3">
        <f>(Table1[[#This Row],[Unit_Price]]-Table1[[#This Row],[Negotiated_Price]])/Table1[[#This Row],[Unit_Price]]</f>
        <v>1.2232096184004199E-2</v>
      </c>
      <c r="O595">
        <v>23</v>
      </c>
      <c r="P595" t="s">
        <v>15</v>
      </c>
      <c r="Q595">
        <f>IF(Table1[[#This Row],[Compliance]]="Yes", 1, 0)</f>
        <v>1</v>
      </c>
    </row>
    <row r="596" spans="1:17" x14ac:dyDescent="0.35">
      <c r="A596" t="s">
        <v>621</v>
      </c>
      <c r="B596" t="s">
        <v>12</v>
      </c>
      <c r="C596" s="1">
        <v>45187</v>
      </c>
      <c r="D596" s="1">
        <v>45190</v>
      </c>
      <c r="E596" s="1">
        <f>SUM(Table1[[#This Row],[Delivery_Date]]-Table1[[#This Row],[Order_Date]])</f>
        <v>3</v>
      </c>
      <c r="F596" t="s">
        <v>39</v>
      </c>
      <c r="G596" t="s">
        <v>18</v>
      </c>
      <c r="H596">
        <v>1903</v>
      </c>
      <c r="I596" s="4">
        <v>83.49</v>
      </c>
      <c r="J596" s="4">
        <v>82.33</v>
      </c>
      <c r="K596" s="4">
        <f>Table1[[#This Row],[Quantity]]*Table1[[#This Row],[Negotiated_Price]]</f>
        <v>156673.99</v>
      </c>
      <c r="L596" s="4">
        <f>Table1[[#This Row],[Quantity]]*Table1[[#This Row],[Unit_Price]]</f>
        <v>158881.47</v>
      </c>
      <c r="M596" s="4">
        <f>Table1[[#This Row],[Unit_Price]]-Table1[[#This Row],[Negotiated_Price]]</f>
        <v>1.1599999999999966</v>
      </c>
      <c r="N596" s="3">
        <f>(Table1[[#This Row],[Unit_Price]]-Table1[[#This Row],[Negotiated_Price]])/Table1[[#This Row],[Unit_Price]]</f>
        <v>1.3893879506527687E-2</v>
      </c>
      <c r="O596">
        <v>43</v>
      </c>
      <c r="P596" t="s">
        <v>15</v>
      </c>
      <c r="Q596">
        <f>IF(Table1[[#This Row],[Compliance]]="Yes", 1, 0)</f>
        <v>1</v>
      </c>
    </row>
    <row r="597" spans="1:17" x14ac:dyDescent="0.35">
      <c r="A597" t="s">
        <v>622</v>
      </c>
      <c r="B597" t="s">
        <v>17</v>
      </c>
      <c r="C597" s="1">
        <v>44636</v>
      </c>
      <c r="D597" s="1">
        <v>44649</v>
      </c>
      <c r="E597" s="1">
        <f>SUM(Table1[[#This Row],[Delivery_Date]]-Table1[[#This Row],[Order_Date]])</f>
        <v>13</v>
      </c>
      <c r="F597" t="s">
        <v>13</v>
      </c>
      <c r="G597" t="s">
        <v>33</v>
      </c>
      <c r="H597">
        <v>840</v>
      </c>
      <c r="I597" s="4">
        <v>83.42</v>
      </c>
      <c r="J597" s="4">
        <v>80.349999999999994</v>
      </c>
      <c r="K597" s="4">
        <f>Table1[[#This Row],[Quantity]]*Table1[[#This Row],[Negotiated_Price]]</f>
        <v>67494</v>
      </c>
      <c r="L597" s="4">
        <f>Table1[[#This Row],[Quantity]]*Table1[[#This Row],[Unit_Price]]</f>
        <v>70072.800000000003</v>
      </c>
      <c r="M597" s="4">
        <f>Table1[[#This Row],[Unit_Price]]-Table1[[#This Row],[Negotiated_Price]]</f>
        <v>3.0700000000000074</v>
      </c>
      <c r="N597" s="3">
        <f>(Table1[[#This Row],[Unit_Price]]-Table1[[#This Row],[Negotiated_Price]])/Table1[[#This Row],[Unit_Price]]</f>
        <v>3.680172620474715E-2</v>
      </c>
      <c r="O597">
        <v>153</v>
      </c>
      <c r="P597" t="s">
        <v>15</v>
      </c>
      <c r="Q597">
        <f>IF(Table1[[#This Row],[Compliance]]="Yes", 1, 0)</f>
        <v>1</v>
      </c>
    </row>
    <row r="598" spans="1:17" hidden="1" x14ac:dyDescent="0.35">
      <c r="A598" t="s">
        <v>623</v>
      </c>
      <c r="B598" t="s">
        <v>17</v>
      </c>
      <c r="C598" s="1">
        <v>45028</v>
      </c>
      <c r="E598" s="1">
        <f>SUM(Table1[[#This Row],[Delivery_Date]]-Table1[[#This Row],[Order_Date]])</f>
        <v>-45028</v>
      </c>
      <c r="F598" t="s">
        <v>21</v>
      </c>
      <c r="G598" t="s">
        <v>18</v>
      </c>
      <c r="H598">
        <v>1200</v>
      </c>
      <c r="I598">
        <v>74.489999999999995</v>
      </c>
      <c r="J598">
        <v>64.63</v>
      </c>
      <c r="K598">
        <f>Table1[[#This Row],[Quantity]]*Table1[[#This Row],[Negotiated_Price]]</f>
        <v>77556</v>
      </c>
      <c r="L598" s="5">
        <f>Table1[[#This Row],[Quantity]]*Table1[[#This Row],[Unit_Price]]</f>
        <v>89388</v>
      </c>
      <c r="M598">
        <f>Table1[[#This Row],[Unit_Price]]-Table1[[#This Row],[Negotiated_Price]]</f>
        <v>9.86</v>
      </c>
      <c r="N598" s="2">
        <f>(Table1[[#This Row],[Unit_Price]]-Table1[[#This Row],[Negotiated_Price]])/Table1[[#This Row],[Unit_Price]]</f>
        <v>0.13236676063901195</v>
      </c>
      <c r="O598">
        <v>161</v>
      </c>
      <c r="P598" t="s">
        <v>15</v>
      </c>
      <c r="Q598">
        <f>IF(Table1[[#This Row],[Compliance]]="Yes", 1, 0)</f>
        <v>1</v>
      </c>
    </row>
    <row r="599" spans="1:17" x14ac:dyDescent="0.35">
      <c r="A599" t="s">
        <v>624</v>
      </c>
      <c r="B599" t="s">
        <v>20</v>
      </c>
      <c r="C599" s="1">
        <v>44986</v>
      </c>
      <c r="D599" s="1">
        <v>45003</v>
      </c>
      <c r="E599" s="1">
        <f>SUM(Table1[[#This Row],[Delivery_Date]]-Table1[[#This Row],[Order_Date]])</f>
        <v>17</v>
      </c>
      <c r="F599" t="s">
        <v>26</v>
      </c>
      <c r="G599" t="s">
        <v>18</v>
      </c>
      <c r="H599">
        <v>1466</v>
      </c>
      <c r="I599" s="4">
        <v>77.37</v>
      </c>
      <c r="J599" s="4">
        <v>70.349999999999994</v>
      </c>
      <c r="K599" s="4">
        <f>Table1[[#This Row],[Quantity]]*Table1[[#This Row],[Negotiated_Price]]</f>
        <v>103133.09999999999</v>
      </c>
      <c r="L599" s="4">
        <f>Table1[[#This Row],[Quantity]]*Table1[[#This Row],[Unit_Price]]</f>
        <v>113424.42000000001</v>
      </c>
      <c r="M599" s="4">
        <f>Table1[[#This Row],[Unit_Price]]-Table1[[#This Row],[Negotiated_Price]]</f>
        <v>7.0200000000000102</v>
      </c>
      <c r="N599" s="3">
        <f>(Table1[[#This Row],[Unit_Price]]-Table1[[#This Row],[Negotiated_Price]])/Table1[[#This Row],[Unit_Price]]</f>
        <v>9.0732842186894272E-2</v>
      </c>
      <c r="O599">
        <v>72</v>
      </c>
      <c r="P599" t="s">
        <v>15</v>
      </c>
      <c r="Q599">
        <f>IF(Table1[[#This Row],[Compliance]]="Yes", 1, 0)</f>
        <v>1</v>
      </c>
    </row>
    <row r="600" spans="1:17" x14ac:dyDescent="0.35">
      <c r="A600" t="s">
        <v>625</v>
      </c>
      <c r="B600" t="s">
        <v>12</v>
      </c>
      <c r="C600" s="1">
        <v>45206</v>
      </c>
      <c r="D600" s="1">
        <v>45220</v>
      </c>
      <c r="E600" s="1">
        <f>SUM(Table1[[#This Row],[Delivery_Date]]-Table1[[#This Row],[Order_Date]])</f>
        <v>14</v>
      </c>
      <c r="F600" t="s">
        <v>13</v>
      </c>
      <c r="G600" t="s">
        <v>18</v>
      </c>
      <c r="H600">
        <v>1981</v>
      </c>
      <c r="I600" s="4">
        <v>95.5</v>
      </c>
      <c r="J600" s="4">
        <v>94.39</v>
      </c>
      <c r="K600" s="4">
        <f>Table1[[#This Row],[Quantity]]*Table1[[#This Row],[Negotiated_Price]]</f>
        <v>186986.59</v>
      </c>
      <c r="L600" s="4">
        <f>Table1[[#This Row],[Quantity]]*Table1[[#This Row],[Unit_Price]]</f>
        <v>189185.5</v>
      </c>
      <c r="M600" s="4">
        <f>Table1[[#This Row],[Unit_Price]]-Table1[[#This Row],[Negotiated_Price]]</f>
        <v>1.1099999999999994</v>
      </c>
      <c r="N600" s="3">
        <f>(Table1[[#This Row],[Unit_Price]]-Table1[[#This Row],[Negotiated_Price]])/Table1[[#This Row],[Unit_Price]]</f>
        <v>1.1623036649214654E-2</v>
      </c>
      <c r="O600">
        <v>49</v>
      </c>
      <c r="P600" t="s">
        <v>15</v>
      </c>
      <c r="Q600">
        <f>IF(Table1[[#This Row],[Compliance]]="Yes", 1, 0)</f>
        <v>1</v>
      </c>
    </row>
    <row r="601" spans="1:17" x14ac:dyDescent="0.35">
      <c r="A601" t="s">
        <v>626</v>
      </c>
      <c r="B601" t="s">
        <v>20</v>
      </c>
      <c r="C601" s="1">
        <v>45151</v>
      </c>
      <c r="D601" s="1">
        <v>45154</v>
      </c>
      <c r="E601" s="1">
        <f>SUM(Table1[[#This Row],[Delivery_Date]]-Table1[[#This Row],[Order_Date]])</f>
        <v>3</v>
      </c>
      <c r="F601" t="s">
        <v>24</v>
      </c>
      <c r="G601" t="s">
        <v>18</v>
      </c>
      <c r="H601">
        <v>1062</v>
      </c>
      <c r="I601" s="4">
        <v>35.549999999999997</v>
      </c>
      <c r="J601" s="4">
        <v>32.380000000000003</v>
      </c>
      <c r="K601" s="4">
        <f>Table1[[#This Row],[Quantity]]*Table1[[#This Row],[Negotiated_Price]]</f>
        <v>34387.560000000005</v>
      </c>
      <c r="L601" s="4">
        <f>Table1[[#This Row],[Quantity]]*Table1[[#This Row],[Unit_Price]]</f>
        <v>37754.1</v>
      </c>
      <c r="M601" s="4">
        <f>Table1[[#This Row],[Unit_Price]]-Table1[[#This Row],[Negotiated_Price]]</f>
        <v>3.1699999999999946</v>
      </c>
      <c r="N601" s="3">
        <f>(Table1[[#This Row],[Unit_Price]]-Table1[[#This Row],[Negotiated_Price]])/Table1[[#This Row],[Unit_Price]]</f>
        <v>8.9170182841068771E-2</v>
      </c>
      <c r="P601" t="s">
        <v>15</v>
      </c>
      <c r="Q601">
        <f>IF(Table1[[#This Row],[Compliance]]="Yes", 1, 0)</f>
        <v>1</v>
      </c>
    </row>
    <row r="602" spans="1:17" x14ac:dyDescent="0.35">
      <c r="A602" t="s">
        <v>627</v>
      </c>
      <c r="B602" t="s">
        <v>12</v>
      </c>
      <c r="C602" s="1">
        <v>44761</v>
      </c>
      <c r="D602" s="1">
        <v>44772</v>
      </c>
      <c r="E602" s="1">
        <f>SUM(Table1[[#This Row],[Delivery_Date]]-Table1[[#This Row],[Order_Date]])</f>
        <v>11</v>
      </c>
      <c r="F602" t="s">
        <v>21</v>
      </c>
      <c r="G602" t="s">
        <v>18</v>
      </c>
      <c r="H602">
        <v>1714</v>
      </c>
      <c r="I602" s="4">
        <v>55.67</v>
      </c>
      <c r="J602" s="4">
        <v>55.09</v>
      </c>
      <c r="K602" s="4">
        <f>Table1[[#This Row],[Quantity]]*Table1[[#This Row],[Negotiated_Price]]</f>
        <v>94424.260000000009</v>
      </c>
      <c r="L602" s="4">
        <f>Table1[[#This Row],[Quantity]]*Table1[[#This Row],[Unit_Price]]</f>
        <v>95418.38</v>
      </c>
      <c r="M602" s="4">
        <f>Table1[[#This Row],[Unit_Price]]-Table1[[#This Row],[Negotiated_Price]]</f>
        <v>0.57999999999999829</v>
      </c>
      <c r="N602" s="3">
        <f>(Table1[[#This Row],[Unit_Price]]-Table1[[#This Row],[Negotiated_Price]])/Table1[[#This Row],[Unit_Price]]</f>
        <v>1.0418537812107028E-2</v>
      </c>
      <c r="O602">
        <v>42</v>
      </c>
      <c r="P602" t="s">
        <v>15</v>
      </c>
      <c r="Q602">
        <f>IF(Table1[[#This Row],[Compliance]]="Yes", 1, 0)</f>
        <v>1</v>
      </c>
    </row>
    <row r="603" spans="1:17" x14ac:dyDescent="0.35">
      <c r="A603" t="s">
        <v>628</v>
      </c>
      <c r="B603" t="s">
        <v>12</v>
      </c>
      <c r="C603" s="1">
        <v>45275</v>
      </c>
      <c r="D603" s="1">
        <v>45290</v>
      </c>
      <c r="E603" s="1">
        <f>SUM(Table1[[#This Row],[Delivery_Date]]-Table1[[#This Row],[Order_Date]])</f>
        <v>15</v>
      </c>
      <c r="F603" t="s">
        <v>13</v>
      </c>
      <c r="G603" t="s">
        <v>18</v>
      </c>
      <c r="H603">
        <v>1131</v>
      </c>
      <c r="I603" s="4">
        <v>33.35</v>
      </c>
      <c r="J603" s="4">
        <v>31.28</v>
      </c>
      <c r="K603" s="4">
        <f>Table1[[#This Row],[Quantity]]*Table1[[#This Row],[Negotiated_Price]]</f>
        <v>35377.68</v>
      </c>
      <c r="L603" s="4">
        <f>Table1[[#This Row],[Quantity]]*Table1[[#This Row],[Unit_Price]]</f>
        <v>37718.85</v>
      </c>
      <c r="M603" s="4">
        <f>Table1[[#This Row],[Unit_Price]]-Table1[[#This Row],[Negotiated_Price]]</f>
        <v>2.0700000000000003</v>
      </c>
      <c r="N603" s="3">
        <f>(Table1[[#This Row],[Unit_Price]]-Table1[[#This Row],[Negotiated_Price]])/Table1[[#This Row],[Unit_Price]]</f>
        <v>6.2068965517241385E-2</v>
      </c>
      <c r="O603">
        <v>23</v>
      </c>
      <c r="P603" t="s">
        <v>15</v>
      </c>
      <c r="Q603">
        <f>IF(Table1[[#This Row],[Compliance]]="Yes", 1, 0)</f>
        <v>1</v>
      </c>
    </row>
    <row r="604" spans="1:17" x14ac:dyDescent="0.35">
      <c r="A604" t="s">
        <v>629</v>
      </c>
      <c r="B604" t="s">
        <v>12</v>
      </c>
      <c r="C604" s="1">
        <v>44955</v>
      </c>
      <c r="D604" s="1">
        <v>44972</v>
      </c>
      <c r="E604" s="1">
        <f>SUM(Table1[[#This Row],[Delivery_Date]]-Table1[[#This Row],[Order_Date]])</f>
        <v>17</v>
      </c>
      <c r="F604" t="s">
        <v>13</v>
      </c>
      <c r="G604" t="s">
        <v>18</v>
      </c>
      <c r="H604">
        <v>683</v>
      </c>
      <c r="I604" s="4">
        <v>104.82</v>
      </c>
      <c r="J604" s="4">
        <v>101.34</v>
      </c>
      <c r="K604" s="4">
        <f>Table1[[#This Row],[Quantity]]*Table1[[#This Row],[Negotiated_Price]]</f>
        <v>69215.22</v>
      </c>
      <c r="L604" s="4">
        <f>Table1[[#This Row],[Quantity]]*Table1[[#This Row],[Unit_Price]]</f>
        <v>71592.06</v>
      </c>
      <c r="M604" s="4">
        <f>Table1[[#This Row],[Unit_Price]]-Table1[[#This Row],[Negotiated_Price]]</f>
        <v>3.4799999999999898</v>
      </c>
      <c r="N604" s="3">
        <f>(Table1[[#This Row],[Unit_Price]]-Table1[[#This Row],[Negotiated_Price]])/Table1[[#This Row],[Unit_Price]]</f>
        <v>3.3199771036061726E-2</v>
      </c>
      <c r="P604" t="s">
        <v>15</v>
      </c>
      <c r="Q604">
        <f>IF(Table1[[#This Row],[Compliance]]="Yes", 1, 0)</f>
        <v>1</v>
      </c>
    </row>
    <row r="605" spans="1:17" x14ac:dyDescent="0.35">
      <c r="A605" t="s">
        <v>630</v>
      </c>
      <c r="B605" t="s">
        <v>20</v>
      </c>
      <c r="C605" s="1">
        <v>45068</v>
      </c>
      <c r="D605" s="1">
        <v>45086</v>
      </c>
      <c r="E605" s="1">
        <f>SUM(Table1[[#This Row],[Delivery_Date]]-Table1[[#This Row],[Order_Date]])</f>
        <v>18</v>
      </c>
      <c r="F605" t="s">
        <v>24</v>
      </c>
      <c r="G605" t="s">
        <v>33</v>
      </c>
      <c r="H605">
        <v>562</v>
      </c>
      <c r="I605" s="4">
        <v>102.56</v>
      </c>
      <c r="J605" s="4">
        <v>90.88</v>
      </c>
      <c r="K605" s="4">
        <f>Table1[[#This Row],[Quantity]]*Table1[[#This Row],[Negotiated_Price]]</f>
        <v>51074.559999999998</v>
      </c>
      <c r="L605" s="4">
        <f>Table1[[#This Row],[Quantity]]*Table1[[#This Row],[Unit_Price]]</f>
        <v>57638.720000000001</v>
      </c>
      <c r="M605" s="4">
        <f>Table1[[#This Row],[Unit_Price]]-Table1[[#This Row],[Negotiated_Price]]</f>
        <v>11.680000000000007</v>
      </c>
      <c r="N605" s="3">
        <f>(Table1[[#This Row],[Unit_Price]]-Table1[[#This Row],[Negotiated_Price]])/Table1[[#This Row],[Unit_Price]]</f>
        <v>0.11388455538221536</v>
      </c>
      <c r="O605">
        <v>38</v>
      </c>
      <c r="P605" t="s">
        <v>15</v>
      </c>
      <c r="Q605">
        <f>IF(Table1[[#This Row],[Compliance]]="Yes", 1, 0)</f>
        <v>1</v>
      </c>
    </row>
    <row r="606" spans="1:17" x14ac:dyDescent="0.35">
      <c r="A606" t="s">
        <v>631</v>
      </c>
      <c r="B606" t="s">
        <v>12</v>
      </c>
      <c r="C606" s="1">
        <v>44971</v>
      </c>
      <c r="D606" s="1">
        <v>44977</v>
      </c>
      <c r="E606" s="1">
        <f>SUM(Table1[[#This Row],[Delivery_Date]]-Table1[[#This Row],[Order_Date]])</f>
        <v>6</v>
      </c>
      <c r="F606" t="s">
        <v>39</v>
      </c>
      <c r="G606" t="s">
        <v>18</v>
      </c>
      <c r="H606">
        <v>1824</v>
      </c>
      <c r="I606" s="4">
        <v>14.43</v>
      </c>
      <c r="J606" s="4">
        <v>14.11</v>
      </c>
      <c r="K606" s="4">
        <f>Table1[[#This Row],[Quantity]]*Table1[[#This Row],[Negotiated_Price]]</f>
        <v>25736.639999999999</v>
      </c>
      <c r="L606" s="4">
        <f>Table1[[#This Row],[Quantity]]*Table1[[#This Row],[Unit_Price]]</f>
        <v>26320.32</v>
      </c>
      <c r="M606" s="4">
        <f>Table1[[#This Row],[Unit_Price]]-Table1[[#This Row],[Negotiated_Price]]</f>
        <v>0.32000000000000028</v>
      </c>
      <c r="N606" s="3">
        <f>(Table1[[#This Row],[Unit_Price]]-Table1[[#This Row],[Negotiated_Price]])/Table1[[#This Row],[Unit_Price]]</f>
        <v>2.2176022176022197E-2</v>
      </c>
      <c r="O606">
        <v>36</v>
      </c>
      <c r="P606" t="s">
        <v>15</v>
      </c>
      <c r="Q606">
        <f>IF(Table1[[#This Row],[Compliance]]="Yes", 1, 0)</f>
        <v>1</v>
      </c>
    </row>
    <row r="607" spans="1:17" x14ac:dyDescent="0.35">
      <c r="A607" t="s">
        <v>632</v>
      </c>
      <c r="B607" t="s">
        <v>23</v>
      </c>
      <c r="C607" s="1">
        <v>44811</v>
      </c>
      <c r="D607" s="1">
        <v>44816</v>
      </c>
      <c r="E607" s="1">
        <f>SUM(Table1[[#This Row],[Delivery_Date]]-Table1[[#This Row],[Order_Date]])</f>
        <v>5</v>
      </c>
      <c r="F607" t="s">
        <v>39</v>
      </c>
      <c r="G607" t="s">
        <v>33</v>
      </c>
      <c r="H607">
        <v>851</v>
      </c>
      <c r="I607" s="4">
        <v>76.44</v>
      </c>
      <c r="J607" s="4">
        <v>74.760000000000005</v>
      </c>
      <c r="K607" s="4">
        <f>Table1[[#This Row],[Quantity]]*Table1[[#This Row],[Negotiated_Price]]</f>
        <v>63620.76</v>
      </c>
      <c r="L607" s="4">
        <f>Table1[[#This Row],[Quantity]]*Table1[[#This Row],[Unit_Price]]</f>
        <v>65050.439999999995</v>
      </c>
      <c r="M607" s="4">
        <f>Table1[[#This Row],[Unit_Price]]-Table1[[#This Row],[Negotiated_Price]]</f>
        <v>1.6799999999999926</v>
      </c>
      <c r="N607" s="3">
        <f>(Table1[[#This Row],[Unit_Price]]-Table1[[#This Row],[Negotiated_Price]])/Table1[[#This Row],[Unit_Price]]</f>
        <v>2.1978021978021883E-2</v>
      </c>
      <c r="O607">
        <v>91</v>
      </c>
      <c r="P607" t="s">
        <v>15</v>
      </c>
      <c r="Q607">
        <f>IF(Table1[[#This Row],[Compliance]]="Yes", 1, 0)</f>
        <v>1</v>
      </c>
    </row>
    <row r="608" spans="1:17" x14ac:dyDescent="0.35">
      <c r="A608" t="s">
        <v>633</v>
      </c>
      <c r="B608" t="s">
        <v>23</v>
      </c>
      <c r="C608" s="1">
        <v>44713</v>
      </c>
      <c r="D608" s="1">
        <v>44715</v>
      </c>
      <c r="E608" s="1">
        <f>SUM(Table1[[#This Row],[Delivery_Date]]-Table1[[#This Row],[Order_Date]])</f>
        <v>2</v>
      </c>
      <c r="F608" t="s">
        <v>13</v>
      </c>
      <c r="G608" t="s">
        <v>18</v>
      </c>
      <c r="H608">
        <v>1169</v>
      </c>
      <c r="I608" s="4">
        <v>95.6</v>
      </c>
      <c r="J608" s="4">
        <v>82.16</v>
      </c>
      <c r="K608" s="4">
        <f>Table1[[#This Row],[Quantity]]*Table1[[#This Row],[Negotiated_Price]]</f>
        <v>96045.04</v>
      </c>
      <c r="L608" s="4">
        <f>Table1[[#This Row],[Quantity]]*Table1[[#This Row],[Unit_Price]]</f>
        <v>111756.4</v>
      </c>
      <c r="M608" s="4">
        <f>Table1[[#This Row],[Unit_Price]]-Table1[[#This Row],[Negotiated_Price]]</f>
        <v>13.439999999999998</v>
      </c>
      <c r="N608" s="3">
        <f>(Table1[[#This Row],[Unit_Price]]-Table1[[#This Row],[Negotiated_Price]])/Table1[[#This Row],[Unit_Price]]</f>
        <v>0.14058577405857739</v>
      </c>
      <c r="O608">
        <v>103</v>
      </c>
      <c r="P608" t="s">
        <v>15</v>
      </c>
      <c r="Q608">
        <f>IF(Table1[[#This Row],[Compliance]]="Yes", 1, 0)</f>
        <v>1</v>
      </c>
    </row>
    <row r="609" spans="1:17" x14ac:dyDescent="0.35">
      <c r="A609" t="s">
        <v>634</v>
      </c>
      <c r="B609" t="s">
        <v>29</v>
      </c>
      <c r="C609" s="1">
        <v>45233</v>
      </c>
      <c r="D609" s="1">
        <v>45250</v>
      </c>
      <c r="E609" s="1">
        <f>SUM(Table1[[#This Row],[Delivery_Date]]-Table1[[#This Row],[Order_Date]])</f>
        <v>17</v>
      </c>
      <c r="F609" t="s">
        <v>21</v>
      </c>
      <c r="G609" t="s">
        <v>18</v>
      </c>
      <c r="H609">
        <v>1711</v>
      </c>
      <c r="I609" s="4">
        <v>29.14</v>
      </c>
      <c r="J609" s="4">
        <v>26.35</v>
      </c>
      <c r="K609" s="4">
        <f>Table1[[#This Row],[Quantity]]*Table1[[#This Row],[Negotiated_Price]]</f>
        <v>45084.850000000006</v>
      </c>
      <c r="L609" s="4">
        <f>Table1[[#This Row],[Quantity]]*Table1[[#This Row],[Unit_Price]]</f>
        <v>49858.54</v>
      </c>
      <c r="M609" s="4">
        <f>Table1[[#This Row],[Unit_Price]]-Table1[[#This Row],[Negotiated_Price]]</f>
        <v>2.7899999999999991</v>
      </c>
      <c r="N609" s="3">
        <f>(Table1[[#This Row],[Unit_Price]]-Table1[[#This Row],[Negotiated_Price]])/Table1[[#This Row],[Unit_Price]]</f>
        <v>9.5744680851063801E-2</v>
      </c>
      <c r="O609">
        <v>48</v>
      </c>
      <c r="P609" t="s">
        <v>15</v>
      </c>
      <c r="Q609">
        <f>IF(Table1[[#This Row],[Compliance]]="Yes", 1, 0)</f>
        <v>1</v>
      </c>
    </row>
    <row r="610" spans="1:17" x14ac:dyDescent="0.35">
      <c r="A610" t="s">
        <v>635</v>
      </c>
      <c r="B610" t="s">
        <v>23</v>
      </c>
      <c r="C610" s="1">
        <v>45266</v>
      </c>
      <c r="D610" s="1">
        <v>45272</v>
      </c>
      <c r="E610" s="1">
        <f>SUM(Table1[[#This Row],[Delivery_Date]]-Table1[[#This Row],[Order_Date]])</f>
        <v>6</v>
      </c>
      <c r="F610" t="s">
        <v>24</v>
      </c>
      <c r="G610" t="s">
        <v>35</v>
      </c>
      <c r="H610">
        <v>1191</v>
      </c>
      <c r="I610" s="4">
        <v>68.14</v>
      </c>
      <c r="J610" s="4">
        <v>61.71</v>
      </c>
      <c r="K610" s="4">
        <f>Table1[[#This Row],[Quantity]]*Table1[[#This Row],[Negotiated_Price]]</f>
        <v>73496.61</v>
      </c>
      <c r="L610" s="4">
        <f>Table1[[#This Row],[Quantity]]*Table1[[#This Row],[Unit_Price]]</f>
        <v>81154.740000000005</v>
      </c>
      <c r="M610" s="4">
        <f>Table1[[#This Row],[Unit_Price]]-Table1[[#This Row],[Negotiated_Price]]</f>
        <v>6.43</v>
      </c>
      <c r="N610" s="3">
        <f>(Table1[[#This Row],[Unit_Price]]-Table1[[#This Row],[Negotiated_Price]])/Table1[[#This Row],[Unit_Price]]</f>
        <v>9.4364543586733185E-2</v>
      </c>
      <c r="O610">
        <v>112</v>
      </c>
      <c r="P610" t="s">
        <v>15</v>
      </c>
      <c r="Q610">
        <f>IF(Table1[[#This Row],[Compliance]]="Yes", 1, 0)</f>
        <v>1</v>
      </c>
    </row>
    <row r="611" spans="1:17" x14ac:dyDescent="0.35">
      <c r="A611" t="s">
        <v>636</v>
      </c>
      <c r="B611" t="s">
        <v>29</v>
      </c>
      <c r="C611" s="1">
        <v>44567</v>
      </c>
      <c r="D611" s="1">
        <v>44575</v>
      </c>
      <c r="E611" s="1">
        <f>SUM(Table1[[#This Row],[Delivery_Date]]-Table1[[#This Row],[Order_Date]])</f>
        <v>8</v>
      </c>
      <c r="F611" t="s">
        <v>39</v>
      </c>
      <c r="G611" t="s">
        <v>18</v>
      </c>
      <c r="H611">
        <v>609</v>
      </c>
      <c r="I611" s="4">
        <v>92.39</v>
      </c>
      <c r="J611" s="4">
        <v>82.75</v>
      </c>
      <c r="K611" s="4">
        <f>Table1[[#This Row],[Quantity]]*Table1[[#This Row],[Negotiated_Price]]</f>
        <v>50394.75</v>
      </c>
      <c r="L611" s="4">
        <f>Table1[[#This Row],[Quantity]]*Table1[[#This Row],[Unit_Price]]</f>
        <v>56265.51</v>
      </c>
      <c r="M611" s="4">
        <f>Table1[[#This Row],[Unit_Price]]-Table1[[#This Row],[Negotiated_Price]]</f>
        <v>9.64</v>
      </c>
      <c r="N611" s="3">
        <f>(Table1[[#This Row],[Unit_Price]]-Table1[[#This Row],[Negotiated_Price]])/Table1[[#This Row],[Unit_Price]]</f>
        <v>0.10434029656889274</v>
      </c>
      <c r="O611">
        <v>29</v>
      </c>
      <c r="P611" t="s">
        <v>15</v>
      </c>
      <c r="Q611">
        <f>IF(Table1[[#This Row],[Compliance]]="Yes", 1, 0)</f>
        <v>1</v>
      </c>
    </row>
    <row r="612" spans="1:17" x14ac:dyDescent="0.35">
      <c r="A612" t="s">
        <v>637</v>
      </c>
      <c r="B612" t="s">
        <v>23</v>
      </c>
      <c r="C612" s="1">
        <v>44671</v>
      </c>
      <c r="D612" s="1">
        <v>44688</v>
      </c>
      <c r="E612" s="1">
        <f>SUM(Table1[[#This Row],[Delivery_Date]]-Table1[[#This Row],[Order_Date]])</f>
        <v>17</v>
      </c>
      <c r="F612" t="s">
        <v>13</v>
      </c>
      <c r="G612" t="s">
        <v>18</v>
      </c>
      <c r="H612">
        <v>1674</v>
      </c>
      <c r="I612" s="4">
        <v>13.25</v>
      </c>
      <c r="J612" s="4">
        <v>11.77</v>
      </c>
      <c r="K612" s="4">
        <f>Table1[[#This Row],[Quantity]]*Table1[[#This Row],[Negotiated_Price]]</f>
        <v>19702.98</v>
      </c>
      <c r="L612" s="4">
        <f>Table1[[#This Row],[Quantity]]*Table1[[#This Row],[Unit_Price]]</f>
        <v>22180.5</v>
      </c>
      <c r="M612" s="4">
        <f>Table1[[#This Row],[Unit_Price]]-Table1[[#This Row],[Negotiated_Price]]</f>
        <v>1.4800000000000004</v>
      </c>
      <c r="N612" s="3">
        <f>(Table1[[#This Row],[Unit_Price]]-Table1[[#This Row],[Negotiated_Price]])/Table1[[#This Row],[Unit_Price]]</f>
        <v>0.1116981132075472</v>
      </c>
      <c r="O612">
        <v>181</v>
      </c>
      <c r="P612" t="s">
        <v>15</v>
      </c>
      <c r="Q612">
        <f>IF(Table1[[#This Row],[Compliance]]="Yes", 1, 0)</f>
        <v>1</v>
      </c>
    </row>
    <row r="613" spans="1:17" x14ac:dyDescent="0.35">
      <c r="A613" t="s">
        <v>638</v>
      </c>
      <c r="B613" t="s">
        <v>20</v>
      </c>
      <c r="C613" s="1">
        <v>44997</v>
      </c>
      <c r="D613" s="1">
        <v>45000</v>
      </c>
      <c r="E613" s="1">
        <f>SUM(Table1[[#This Row],[Delivery_Date]]-Table1[[#This Row],[Order_Date]])</f>
        <v>3</v>
      </c>
      <c r="F613" t="s">
        <v>21</v>
      </c>
      <c r="G613" t="s">
        <v>18</v>
      </c>
      <c r="H613">
        <v>537</v>
      </c>
      <c r="I613" s="4">
        <v>77.86</v>
      </c>
      <c r="J613" s="4">
        <v>71.180000000000007</v>
      </c>
      <c r="K613" s="4">
        <f>Table1[[#This Row],[Quantity]]*Table1[[#This Row],[Negotiated_Price]]</f>
        <v>38223.660000000003</v>
      </c>
      <c r="L613" s="4">
        <f>Table1[[#This Row],[Quantity]]*Table1[[#This Row],[Unit_Price]]</f>
        <v>41810.82</v>
      </c>
      <c r="M613" s="4">
        <f>Table1[[#This Row],[Unit_Price]]-Table1[[#This Row],[Negotiated_Price]]</f>
        <v>6.6799999999999926</v>
      </c>
      <c r="N613" s="3">
        <f>(Table1[[#This Row],[Unit_Price]]-Table1[[#This Row],[Negotiated_Price]])/Table1[[#This Row],[Unit_Price]]</f>
        <v>8.579501669663489E-2</v>
      </c>
      <c r="O613">
        <v>20</v>
      </c>
      <c r="P613" t="s">
        <v>15</v>
      </c>
      <c r="Q613">
        <f>IF(Table1[[#This Row],[Compliance]]="Yes", 1, 0)</f>
        <v>1</v>
      </c>
    </row>
    <row r="614" spans="1:17" x14ac:dyDescent="0.35">
      <c r="A614" t="s">
        <v>639</v>
      </c>
      <c r="B614" t="s">
        <v>29</v>
      </c>
      <c r="C614" s="1">
        <v>44786</v>
      </c>
      <c r="D614" s="1">
        <v>44804</v>
      </c>
      <c r="E614" s="1">
        <f>SUM(Table1[[#This Row],[Delivery_Date]]-Table1[[#This Row],[Order_Date]])</f>
        <v>18</v>
      </c>
      <c r="F614" t="s">
        <v>39</v>
      </c>
      <c r="G614" t="s">
        <v>18</v>
      </c>
      <c r="H614">
        <v>1310</v>
      </c>
      <c r="I614" s="4">
        <v>38.049999999999997</v>
      </c>
      <c r="J614" s="4">
        <v>37</v>
      </c>
      <c r="K614" s="4">
        <f>Table1[[#This Row],[Quantity]]*Table1[[#This Row],[Negotiated_Price]]</f>
        <v>48470</v>
      </c>
      <c r="L614" s="4">
        <f>Table1[[#This Row],[Quantity]]*Table1[[#This Row],[Unit_Price]]</f>
        <v>49845.499999999993</v>
      </c>
      <c r="M614" s="4">
        <f>Table1[[#This Row],[Unit_Price]]-Table1[[#This Row],[Negotiated_Price]]</f>
        <v>1.0499999999999972</v>
      </c>
      <c r="N614" s="3">
        <f>(Table1[[#This Row],[Unit_Price]]-Table1[[#This Row],[Negotiated_Price]])/Table1[[#This Row],[Unit_Price]]</f>
        <v>2.7595269382391516E-2</v>
      </c>
      <c r="O614">
        <v>45</v>
      </c>
      <c r="P614" t="s">
        <v>15</v>
      </c>
      <c r="Q614">
        <f>IF(Table1[[#This Row],[Compliance]]="Yes", 1, 0)</f>
        <v>1</v>
      </c>
    </row>
    <row r="615" spans="1:17" x14ac:dyDescent="0.35">
      <c r="A615" t="s">
        <v>640</v>
      </c>
      <c r="B615" t="s">
        <v>17</v>
      </c>
      <c r="C615" s="1">
        <v>44742</v>
      </c>
      <c r="D615" s="1">
        <v>44752</v>
      </c>
      <c r="E615" s="1">
        <f>SUM(Table1[[#This Row],[Delivery_Date]]-Table1[[#This Row],[Order_Date]])</f>
        <v>10</v>
      </c>
      <c r="F615" t="s">
        <v>26</v>
      </c>
      <c r="G615" t="s">
        <v>18</v>
      </c>
      <c r="H615">
        <v>1958</v>
      </c>
      <c r="I615" s="4">
        <v>95.53</v>
      </c>
      <c r="J615" s="4">
        <v>91.72</v>
      </c>
      <c r="K615" s="4">
        <f>Table1[[#This Row],[Quantity]]*Table1[[#This Row],[Negotiated_Price]]</f>
        <v>179587.76</v>
      </c>
      <c r="L615" s="4">
        <f>Table1[[#This Row],[Quantity]]*Table1[[#This Row],[Unit_Price]]</f>
        <v>187047.74</v>
      </c>
      <c r="M615" s="4">
        <f>Table1[[#This Row],[Unit_Price]]-Table1[[#This Row],[Negotiated_Price]]</f>
        <v>3.8100000000000023</v>
      </c>
      <c r="N615" s="3">
        <f>(Table1[[#This Row],[Unit_Price]]-Table1[[#This Row],[Negotiated_Price]])/Table1[[#This Row],[Unit_Price]]</f>
        <v>3.9882759342614905E-2</v>
      </c>
      <c r="O615">
        <v>308</v>
      </c>
      <c r="P615" t="s">
        <v>15</v>
      </c>
      <c r="Q615">
        <f>IF(Table1[[#This Row],[Compliance]]="Yes", 1, 0)</f>
        <v>1</v>
      </c>
    </row>
    <row r="616" spans="1:17" x14ac:dyDescent="0.35">
      <c r="A616" t="s">
        <v>641</v>
      </c>
      <c r="B616" t="s">
        <v>17</v>
      </c>
      <c r="C616" s="1">
        <v>45274</v>
      </c>
      <c r="D616" s="1">
        <v>45277</v>
      </c>
      <c r="E616" s="1">
        <f>SUM(Table1[[#This Row],[Delivery_Date]]-Table1[[#This Row],[Order_Date]])</f>
        <v>3</v>
      </c>
      <c r="F616" t="s">
        <v>13</v>
      </c>
      <c r="G616" t="s">
        <v>18</v>
      </c>
      <c r="H616">
        <v>946</v>
      </c>
      <c r="I616" s="4">
        <v>108.6</v>
      </c>
      <c r="J616" s="4">
        <v>101.78</v>
      </c>
      <c r="K616" s="4">
        <f>Table1[[#This Row],[Quantity]]*Table1[[#This Row],[Negotiated_Price]]</f>
        <v>96283.88</v>
      </c>
      <c r="L616" s="4">
        <f>Table1[[#This Row],[Quantity]]*Table1[[#This Row],[Unit_Price]]</f>
        <v>102735.59999999999</v>
      </c>
      <c r="M616" s="4">
        <f>Table1[[#This Row],[Unit_Price]]-Table1[[#This Row],[Negotiated_Price]]</f>
        <v>6.8199999999999932</v>
      </c>
      <c r="N616" s="3">
        <f>(Table1[[#This Row],[Unit_Price]]-Table1[[#This Row],[Negotiated_Price]])/Table1[[#This Row],[Unit_Price]]</f>
        <v>6.2799263351749485E-2</v>
      </c>
      <c r="O616">
        <v>146</v>
      </c>
      <c r="P616" t="s">
        <v>15</v>
      </c>
      <c r="Q616">
        <f>IF(Table1[[#This Row],[Compliance]]="Yes", 1, 0)</f>
        <v>1</v>
      </c>
    </row>
    <row r="617" spans="1:17" x14ac:dyDescent="0.35">
      <c r="A617" t="s">
        <v>642</v>
      </c>
      <c r="B617" t="s">
        <v>23</v>
      </c>
      <c r="C617" s="1">
        <v>45092</v>
      </c>
      <c r="D617" s="1">
        <v>45098</v>
      </c>
      <c r="E617" s="1">
        <f>SUM(Table1[[#This Row],[Delivery_Date]]-Table1[[#This Row],[Order_Date]])</f>
        <v>6</v>
      </c>
      <c r="F617" t="s">
        <v>24</v>
      </c>
      <c r="G617" t="s">
        <v>33</v>
      </c>
      <c r="H617">
        <v>1345</v>
      </c>
      <c r="I617" s="4">
        <v>103.06</v>
      </c>
      <c r="J617" s="4">
        <v>95.14</v>
      </c>
      <c r="K617" s="4">
        <f>Table1[[#This Row],[Quantity]]*Table1[[#This Row],[Negotiated_Price]]</f>
        <v>127963.3</v>
      </c>
      <c r="L617" s="4">
        <f>Table1[[#This Row],[Quantity]]*Table1[[#This Row],[Unit_Price]]</f>
        <v>138615.70000000001</v>
      </c>
      <c r="M617" s="4">
        <f>Table1[[#This Row],[Unit_Price]]-Table1[[#This Row],[Negotiated_Price]]</f>
        <v>7.9200000000000017</v>
      </c>
      <c r="N617" s="3">
        <f>(Table1[[#This Row],[Unit_Price]]-Table1[[#This Row],[Negotiated_Price]])/Table1[[#This Row],[Unit_Price]]</f>
        <v>7.6848437803221439E-2</v>
      </c>
      <c r="P617" t="s">
        <v>15</v>
      </c>
      <c r="Q617">
        <f>IF(Table1[[#This Row],[Compliance]]="Yes", 1, 0)</f>
        <v>1</v>
      </c>
    </row>
    <row r="618" spans="1:17" x14ac:dyDescent="0.35">
      <c r="A618" t="s">
        <v>643</v>
      </c>
      <c r="B618" t="s">
        <v>17</v>
      </c>
      <c r="C618" s="1">
        <v>45037</v>
      </c>
      <c r="D618" s="1">
        <v>45056</v>
      </c>
      <c r="E618" s="1">
        <f>SUM(Table1[[#This Row],[Delivery_Date]]-Table1[[#This Row],[Order_Date]])</f>
        <v>19</v>
      </c>
      <c r="F618" t="s">
        <v>21</v>
      </c>
      <c r="G618" t="s">
        <v>18</v>
      </c>
      <c r="H618">
        <v>1262</v>
      </c>
      <c r="I618" s="4">
        <v>56.63</v>
      </c>
      <c r="J618" s="4">
        <v>51.46</v>
      </c>
      <c r="K618" s="4">
        <f>Table1[[#This Row],[Quantity]]*Table1[[#This Row],[Negotiated_Price]]</f>
        <v>64942.520000000004</v>
      </c>
      <c r="L618" s="4">
        <f>Table1[[#This Row],[Quantity]]*Table1[[#This Row],[Unit_Price]]</f>
        <v>71467.06</v>
      </c>
      <c r="M618" s="4">
        <f>Table1[[#This Row],[Unit_Price]]-Table1[[#This Row],[Negotiated_Price]]</f>
        <v>5.1700000000000017</v>
      </c>
      <c r="N618" s="3">
        <f>(Table1[[#This Row],[Unit_Price]]-Table1[[#This Row],[Negotiated_Price]])/Table1[[#This Row],[Unit_Price]]</f>
        <v>9.1294366943316288E-2</v>
      </c>
      <c r="P618" t="s">
        <v>27</v>
      </c>
      <c r="Q618">
        <f>IF(Table1[[#This Row],[Compliance]]="Yes", 1, 0)</f>
        <v>0</v>
      </c>
    </row>
    <row r="619" spans="1:17" x14ac:dyDescent="0.35">
      <c r="A619" t="s">
        <v>644</v>
      </c>
      <c r="B619" t="s">
        <v>23</v>
      </c>
      <c r="C619" s="1">
        <v>44613</v>
      </c>
      <c r="D619" s="1">
        <v>44633</v>
      </c>
      <c r="E619" s="1">
        <f>SUM(Table1[[#This Row],[Delivery_Date]]-Table1[[#This Row],[Order_Date]])</f>
        <v>20</v>
      </c>
      <c r="F619" t="s">
        <v>13</v>
      </c>
      <c r="G619" t="s">
        <v>35</v>
      </c>
      <c r="H619">
        <v>753</v>
      </c>
      <c r="I619" s="4">
        <v>88.02</v>
      </c>
      <c r="J619" s="4">
        <v>79.92</v>
      </c>
      <c r="K619" s="4">
        <f>Table1[[#This Row],[Quantity]]*Table1[[#This Row],[Negotiated_Price]]</f>
        <v>60179.76</v>
      </c>
      <c r="L619" s="4">
        <f>Table1[[#This Row],[Quantity]]*Table1[[#This Row],[Unit_Price]]</f>
        <v>66279.06</v>
      </c>
      <c r="M619" s="4">
        <f>Table1[[#This Row],[Unit_Price]]-Table1[[#This Row],[Negotiated_Price]]</f>
        <v>8.0999999999999943</v>
      </c>
      <c r="N619" s="3">
        <f>(Table1[[#This Row],[Unit_Price]]-Table1[[#This Row],[Negotiated_Price]])/Table1[[#This Row],[Unit_Price]]</f>
        <v>9.2024539877300554E-2</v>
      </c>
      <c r="O619">
        <v>75</v>
      </c>
      <c r="P619" t="s">
        <v>15</v>
      </c>
      <c r="Q619">
        <f>IF(Table1[[#This Row],[Compliance]]="Yes", 1, 0)</f>
        <v>1</v>
      </c>
    </row>
    <row r="620" spans="1:17" x14ac:dyDescent="0.35">
      <c r="A620" t="s">
        <v>645</v>
      </c>
      <c r="B620" t="s">
        <v>23</v>
      </c>
      <c r="C620" s="1">
        <v>45132</v>
      </c>
      <c r="D620" s="1">
        <v>45152</v>
      </c>
      <c r="E620" s="1">
        <f>SUM(Table1[[#This Row],[Delivery_Date]]-Table1[[#This Row],[Order_Date]])</f>
        <v>20</v>
      </c>
      <c r="F620" t="s">
        <v>39</v>
      </c>
      <c r="G620" t="s">
        <v>18</v>
      </c>
      <c r="H620">
        <v>1520</v>
      </c>
      <c r="I620" s="4">
        <v>93.75</v>
      </c>
      <c r="J620" s="4">
        <v>81.63</v>
      </c>
      <c r="K620" s="4">
        <f>Table1[[#This Row],[Quantity]]*Table1[[#This Row],[Negotiated_Price]]</f>
        <v>124077.59999999999</v>
      </c>
      <c r="L620" s="4">
        <f>Table1[[#This Row],[Quantity]]*Table1[[#This Row],[Unit_Price]]</f>
        <v>142500</v>
      </c>
      <c r="M620" s="4">
        <f>Table1[[#This Row],[Unit_Price]]-Table1[[#This Row],[Negotiated_Price]]</f>
        <v>12.120000000000005</v>
      </c>
      <c r="N620" s="3">
        <f>(Table1[[#This Row],[Unit_Price]]-Table1[[#This Row],[Negotiated_Price]])/Table1[[#This Row],[Unit_Price]]</f>
        <v>0.12928000000000006</v>
      </c>
      <c r="O620">
        <v>149</v>
      </c>
      <c r="P620" t="s">
        <v>15</v>
      </c>
      <c r="Q620">
        <f>IF(Table1[[#This Row],[Compliance]]="Yes", 1, 0)</f>
        <v>1</v>
      </c>
    </row>
    <row r="621" spans="1:17" x14ac:dyDescent="0.35">
      <c r="A621" t="s">
        <v>646</v>
      </c>
      <c r="B621" t="s">
        <v>17</v>
      </c>
      <c r="C621" s="1">
        <v>44817</v>
      </c>
      <c r="D621" s="1">
        <v>44836</v>
      </c>
      <c r="E621" s="1">
        <f>SUM(Table1[[#This Row],[Delivery_Date]]-Table1[[#This Row],[Order_Date]])</f>
        <v>19</v>
      </c>
      <c r="F621" t="s">
        <v>13</v>
      </c>
      <c r="G621" t="s">
        <v>18</v>
      </c>
      <c r="H621">
        <v>630</v>
      </c>
      <c r="I621" s="4">
        <v>40.270000000000003</v>
      </c>
      <c r="J621" s="4">
        <v>37.54</v>
      </c>
      <c r="K621" s="4">
        <f>Table1[[#This Row],[Quantity]]*Table1[[#This Row],[Negotiated_Price]]</f>
        <v>23650.2</v>
      </c>
      <c r="L621" s="4">
        <f>Table1[[#This Row],[Quantity]]*Table1[[#This Row],[Unit_Price]]</f>
        <v>25370.100000000002</v>
      </c>
      <c r="M621" s="4">
        <f>Table1[[#This Row],[Unit_Price]]-Table1[[#This Row],[Negotiated_Price]]</f>
        <v>2.730000000000004</v>
      </c>
      <c r="N621" s="3">
        <f>(Table1[[#This Row],[Unit_Price]]-Table1[[#This Row],[Negotiated_Price]])/Table1[[#This Row],[Unit_Price]]</f>
        <v>6.779240129128393E-2</v>
      </c>
      <c r="O621">
        <v>76</v>
      </c>
      <c r="P621" t="s">
        <v>15</v>
      </c>
      <c r="Q621">
        <f>IF(Table1[[#This Row],[Compliance]]="Yes", 1, 0)</f>
        <v>1</v>
      </c>
    </row>
    <row r="622" spans="1:17" x14ac:dyDescent="0.35">
      <c r="A622" t="s">
        <v>647</v>
      </c>
      <c r="B622" t="s">
        <v>17</v>
      </c>
      <c r="C622" s="1">
        <v>44686</v>
      </c>
      <c r="D622" s="1">
        <v>44687</v>
      </c>
      <c r="E622" s="1">
        <f>SUM(Table1[[#This Row],[Delivery_Date]]-Table1[[#This Row],[Order_Date]])</f>
        <v>1</v>
      </c>
      <c r="F622" t="s">
        <v>13</v>
      </c>
      <c r="G622" t="s">
        <v>18</v>
      </c>
      <c r="H622">
        <v>839</v>
      </c>
      <c r="I622" s="4">
        <v>86.29</v>
      </c>
      <c r="J622" s="4">
        <v>82.51</v>
      </c>
      <c r="K622" s="4">
        <f>Table1[[#This Row],[Quantity]]*Table1[[#This Row],[Negotiated_Price]]</f>
        <v>69225.89</v>
      </c>
      <c r="L622" s="4">
        <f>Table1[[#This Row],[Quantity]]*Table1[[#This Row],[Unit_Price]]</f>
        <v>72397.310000000012</v>
      </c>
      <c r="M622" s="4">
        <f>Table1[[#This Row],[Unit_Price]]-Table1[[#This Row],[Negotiated_Price]]</f>
        <v>3.7800000000000011</v>
      </c>
      <c r="N622" s="3">
        <f>(Table1[[#This Row],[Unit_Price]]-Table1[[#This Row],[Negotiated_Price]])/Table1[[#This Row],[Unit_Price]]</f>
        <v>4.3805771236527999E-2</v>
      </c>
      <c r="O622">
        <v>110</v>
      </c>
      <c r="P622" t="s">
        <v>15</v>
      </c>
      <c r="Q622">
        <f>IF(Table1[[#This Row],[Compliance]]="Yes", 1, 0)</f>
        <v>1</v>
      </c>
    </row>
    <row r="623" spans="1:17" x14ac:dyDescent="0.35">
      <c r="A623" t="s">
        <v>648</v>
      </c>
      <c r="B623" t="s">
        <v>12</v>
      </c>
      <c r="C623" s="1">
        <v>45029</v>
      </c>
      <c r="D623" s="1">
        <v>45048</v>
      </c>
      <c r="E623" s="1">
        <f>SUM(Table1[[#This Row],[Delivery_Date]]-Table1[[#This Row],[Order_Date]])</f>
        <v>19</v>
      </c>
      <c r="F623" t="s">
        <v>39</v>
      </c>
      <c r="G623" t="s">
        <v>18</v>
      </c>
      <c r="H623">
        <v>910</v>
      </c>
      <c r="I623" s="4">
        <v>14.33</v>
      </c>
      <c r="J623" s="4">
        <v>14.07</v>
      </c>
      <c r="K623" s="4">
        <f>Table1[[#This Row],[Quantity]]*Table1[[#This Row],[Negotiated_Price]]</f>
        <v>12803.7</v>
      </c>
      <c r="L623" s="4">
        <f>Table1[[#This Row],[Quantity]]*Table1[[#This Row],[Unit_Price]]</f>
        <v>13040.3</v>
      </c>
      <c r="M623" s="4">
        <f>Table1[[#This Row],[Unit_Price]]-Table1[[#This Row],[Negotiated_Price]]</f>
        <v>0.25999999999999979</v>
      </c>
      <c r="N623" s="3">
        <f>(Table1[[#This Row],[Unit_Price]]-Table1[[#This Row],[Negotiated_Price]])/Table1[[#This Row],[Unit_Price]]</f>
        <v>1.81437543614794E-2</v>
      </c>
      <c r="O623">
        <v>27</v>
      </c>
      <c r="P623" t="s">
        <v>15</v>
      </c>
      <c r="Q623">
        <f>IF(Table1[[#This Row],[Compliance]]="Yes", 1, 0)</f>
        <v>1</v>
      </c>
    </row>
    <row r="624" spans="1:17" x14ac:dyDescent="0.35">
      <c r="A624" t="s">
        <v>649</v>
      </c>
      <c r="B624" t="s">
        <v>29</v>
      </c>
      <c r="C624" s="1">
        <v>44698</v>
      </c>
      <c r="D624" s="1">
        <v>44705</v>
      </c>
      <c r="E624" s="1">
        <f>SUM(Table1[[#This Row],[Delivery_Date]]-Table1[[#This Row],[Order_Date]])</f>
        <v>7</v>
      </c>
      <c r="F624" t="s">
        <v>26</v>
      </c>
      <c r="G624" t="s">
        <v>18</v>
      </c>
      <c r="H624">
        <v>296</v>
      </c>
      <c r="I624" s="4">
        <v>64.94</v>
      </c>
      <c r="J624" s="4">
        <v>63.61</v>
      </c>
      <c r="K624" s="4">
        <f>Table1[[#This Row],[Quantity]]*Table1[[#This Row],[Negotiated_Price]]</f>
        <v>18828.560000000001</v>
      </c>
      <c r="L624" s="4">
        <f>Table1[[#This Row],[Quantity]]*Table1[[#This Row],[Unit_Price]]</f>
        <v>19222.239999999998</v>
      </c>
      <c r="M624" s="4">
        <f>Table1[[#This Row],[Unit_Price]]-Table1[[#This Row],[Negotiated_Price]]</f>
        <v>1.3299999999999983</v>
      </c>
      <c r="N624" s="3">
        <f>(Table1[[#This Row],[Unit_Price]]-Table1[[#This Row],[Negotiated_Price]])/Table1[[#This Row],[Unit_Price]]</f>
        <v>2.0480443486295016E-2</v>
      </c>
      <c r="P624" t="s">
        <v>15</v>
      </c>
      <c r="Q624">
        <f>IF(Table1[[#This Row],[Compliance]]="Yes", 1, 0)</f>
        <v>1</v>
      </c>
    </row>
    <row r="625" spans="1:17" x14ac:dyDescent="0.35">
      <c r="A625" t="s">
        <v>650</v>
      </c>
      <c r="B625" t="s">
        <v>23</v>
      </c>
      <c r="C625" s="1">
        <v>45037</v>
      </c>
      <c r="D625" s="1">
        <v>45051</v>
      </c>
      <c r="E625" s="1">
        <f>SUM(Table1[[#This Row],[Delivery_Date]]-Table1[[#This Row],[Order_Date]])</f>
        <v>14</v>
      </c>
      <c r="F625" t="s">
        <v>21</v>
      </c>
      <c r="G625" t="s">
        <v>18</v>
      </c>
      <c r="H625">
        <v>1149</v>
      </c>
      <c r="I625" s="4">
        <v>33</v>
      </c>
      <c r="J625" s="4">
        <v>30.65</v>
      </c>
      <c r="K625" s="4">
        <f>Table1[[#This Row],[Quantity]]*Table1[[#This Row],[Negotiated_Price]]</f>
        <v>35216.85</v>
      </c>
      <c r="L625" s="4">
        <f>Table1[[#This Row],[Quantity]]*Table1[[#This Row],[Unit_Price]]</f>
        <v>37917</v>
      </c>
      <c r="M625" s="4">
        <f>Table1[[#This Row],[Unit_Price]]-Table1[[#This Row],[Negotiated_Price]]</f>
        <v>2.3500000000000014</v>
      </c>
      <c r="N625" s="3">
        <f>(Table1[[#This Row],[Unit_Price]]-Table1[[#This Row],[Negotiated_Price]])/Table1[[#This Row],[Unit_Price]]</f>
        <v>7.1212121212121254E-2</v>
      </c>
      <c r="O625">
        <v>141</v>
      </c>
      <c r="P625" t="s">
        <v>15</v>
      </c>
      <c r="Q625">
        <f>IF(Table1[[#This Row],[Compliance]]="Yes", 1, 0)</f>
        <v>1</v>
      </c>
    </row>
    <row r="626" spans="1:17" x14ac:dyDescent="0.35">
      <c r="A626" t="s">
        <v>651</v>
      </c>
      <c r="B626" t="s">
        <v>17</v>
      </c>
      <c r="C626" s="1">
        <v>45245</v>
      </c>
      <c r="D626" s="1">
        <v>45246</v>
      </c>
      <c r="E626" s="1">
        <f>SUM(Table1[[#This Row],[Delivery_Date]]-Table1[[#This Row],[Order_Date]])</f>
        <v>1</v>
      </c>
      <c r="F626" t="s">
        <v>39</v>
      </c>
      <c r="G626" t="s">
        <v>18</v>
      </c>
      <c r="H626">
        <v>203</v>
      </c>
      <c r="I626" s="4">
        <v>23.14</v>
      </c>
      <c r="J626" s="4">
        <v>20</v>
      </c>
      <c r="K626" s="4">
        <f>Table1[[#This Row],[Quantity]]*Table1[[#This Row],[Negotiated_Price]]</f>
        <v>4060</v>
      </c>
      <c r="L626" s="4">
        <f>Table1[[#This Row],[Quantity]]*Table1[[#This Row],[Unit_Price]]</f>
        <v>4697.42</v>
      </c>
      <c r="M626" s="4">
        <f>Table1[[#This Row],[Unit_Price]]-Table1[[#This Row],[Negotiated_Price]]</f>
        <v>3.1400000000000006</v>
      </c>
      <c r="N626" s="3">
        <f>(Table1[[#This Row],[Unit_Price]]-Table1[[#This Row],[Negotiated_Price]])/Table1[[#This Row],[Unit_Price]]</f>
        <v>0.13569576490924809</v>
      </c>
      <c r="P626" t="s">
        <v>27</v>
      </c>
      <c r="Q626">
        <f>IF(Table1[[#This Row],[Compliance]]="Yes", 1, 0)</f>
        <v>0</v>
      </c>
    </row>
    <row r="627" spans="1:17" x14ac:dyDescent="0.35">
      <c r="A627" t="s">
        <v>652</v>
      </c>
      <c r="B627" t="s">
        <v>29</v>
      </c>
      <c r="C627" s="1">
        <v>45105</v>
      </c>
      <c r="D627" s="1">
        <v>45123</v>
      </c>
      <c r="E627" s="1">
        <f>SUM(Table1[[#This Row],[Delivery_Date]]-Table1[[#This Row],[Order_Date]])</f>
        <v>18</v>
      </c>
      <c r="F627" t="s">
        <v>13</v>
      </c>
      <c r="G627" t="s">
        <v>18</v>
      </c>
      <c r="H627">
        <v>1729</v>
      </c>
      <c r="I627" s="4">
        <v>18.36</v>
      </c>
      <c r="J627" s="4">
        <v>16.34</v>
      </c>
      <c r="K627" s="4">
        <f>Table1[[#This Row],[Quantity]]*Table1[[#This Row],[Negotiated_Price]]</f>
        <v>28251.86</v>
      </c>
      <c r="L627" s="4">
        <f>Table1[[#This Row],[Quantity]]*Table1[[#This Row],[Unit_Price]]</f>
        <v>31744.44</v>
      </c>
      <c r="M627" s="4">
        <f>Table1[[#This Row],[Unit_Price]]-Table1[[#This Row],[Negotiated_Price]]</f>
        <v>2.0199999999999996</v>
      </c>
      <c r="N627" s="3">
        <f>(Table1[[#This Row],[Unit_Price]]-Table1[[#This Row],[Negotiated_Price]])/Table1[[#This Row],[Unit_Price]]</f>
        <v>0.11002178649237471</v>
      </c>
      <c r="O627">
        <v>47</v>
      </c>
      <c r="P627" t="s">
        <v>15</v>
      </c>
      <c r="Q627">
        <f>IF(Table1[[#This Row],[Compliance]]="Yes", 1, 0)</f>
        <v>1</v>
      </c>
    </row>
    <row r="628" spans="1:17" x14ac:dyDescent="0.35">
      <c r="A628" t="s">
        <v>653</v>
      </c>
      <c r="B628" t="s">
        <v>17</v>
      </c>
      <c r="C628" s="1">
        <v>45134</v>
      </c>
      <c r="D628" s="1">
        <v>45144</v>
      </c>
      <c r="E628" s="1">
        <f>SUM(Table1[[#This Row],[Delivery_Date]]-Table1[[#This Row],[Order_Date]])</f>
        <v>10</v>
      </c>
      <c r="F628" t="s">
        <v>13</v>
      </c>
      <c r="G628" t="s">
        <v>18</v>
      </c>
      <c r="H628">
        <v>1508</v>
      </c>
      <c r="I628" s="4">
        <v>79.209999999999994</v>
      </c>
      <c r="J628" s="4">
        <v>73.27</v>
      </c>
      <c r="K628" s="4">
        <f>Table1[[#This Row],[Quantity]]*Table1[[#This Row],[Negotiated_Price]]</f>
        <v>110491.15999999999</v>
      </c>
      <c r="L628" s="4">
        <f>Table1[[#This Row],[Quantity]]*Table1[[#This Row],[Unit_Price]]</f>
        <v>119448.68</v>
      </c>
      <c r="M628" s="4">
        <f>Table1[[#This Row],[Unit_Price]]-Table1[[#This Row],[Negotiated_Price]]</f>
        <v>5.9399999999999977</v>
      </c>
      <c r="N628" s="3">
        <f>(Table1[[#This Row],[Unit_Price]]-Table1[[#This Row],[Negotiated_Price]])/Table1[[#This Row],[Unit_Price]]</f>
        <v>7.4990531498548146E-2</v>
      </c>
      <c r="O628">
        <v>226</v>
      </c>
      <c r="P628" t="s">
        <v>15</v>
      </c>
      <c r="Q628">
        <f>IF(Table1[[#This Row],[Compliance]]="Yes", 1, 0)</f>
        <v>1</v>
      </c>
    </row>
    <row r="629" spans="1:17" x14ac:dyDescent="0.35">
      <c r="A629" t="s">
        <v>654</v>
      </c>
      <c r="B629" t="s">
        <v>17</v>
      </c>
      <c r="C629" s="1">
        <v>45171</v>
      </c>
      <c r="D629" s="1">
        <v>45184</v>
      </c>
      <c r="E629" s="1">
        <f>SUM(Table1[[#This Row],[Delivery_Date]]-Table1[[#This Row],[Order_Date]])</f>
        <v>13</v>
      </c>
      <c r="F629" t="s">
        <v>24</v>
      </c>
      <c r="G629" t="s">
        <v>33</v>
      </c>
      <c r="H629">
        <v>1046</v>
      </c>
      <c r="I629" s="4">
        <v>44.65</v>
      </c>
      <c r="J629" s="4">
        <v>40.1</v>
      </c>
      <c r="K629" s="4">
        <f>Table1[[#This Row],[Quantity]]*Table1[[#This Row],[Negotiated_Price]]</f>
        <v>41944.6</v>
      </c>
      <c r="L629" s="4">
        <f>Table1[[#This Row],[Quantity]]*Table1[[#This Row],[Unit_Price]]</f>
        <v>46703.9</v>
      </c>
      <c r="M629" s="4">
        <f>Table1[[#This Row],[Unit_Price]]-Table1[[#This Row],[Negotiated_Price]]</f>
        <v>4.5499999999999972</v>
      </c>
      <c r="N629" s="3">
        <f>(Table1[[#This Row],[Unit_Price]]-Table1[[#This Row],[Negotiated_Price]])/Table1[[#This Row],[Unit_Price]]</f>
        <v>0.10190369540873455</v>
      </c>
      <c r="O629">
        <v>165</v>
      </c>
      <c r="P629" t="s">
        <v>27</v>
      </c>
      <c r="Q629">
        <f>IF(Table1[[#This Row],[Compliance]]="Yes", 1, 0)</f>
        <v>0</v>
      </c>
    </row>
    <row r="630" spans="1:17" x14ac:dyDescent="0.35">
      <c r="A630" t="s">
        <v>655</v>
      </c>
      <c r="B630" t="s">
        <v>12</v>
      </c>
      <c r="C630" s="1">
        <v>44886</v>
      </c>
      <c r="D630" s="1">
        <v>44889</v>
      </c>
      <c r="E630" s="1">
        <f>SUM(Table1[[#This Row],[Delivery_Date]]-Table1[[#This Row],[Order_Date]])</f>
        <v>3</v>
      </c>
      <c r="F630" t="s">
        <v>13</v>
      </c>
      <c r="G630" t="s">
        <v>18</v>
      </c>
      <c r="H630">
        <v>1159</v>
      </c>
      <c r="I630" s="4">
        <v>78.989999999999995</v>
      </c>
      <c r="J630" s="4">
        <v>71.69</v>
      </c>
      <c r="K630" s="4">
        <f>Table1[[#This Row],[Quantity]]*Table1[[#This Row],[Negotiated_Price]]</f>
        <v>83088.709999999992</v>
      </c>
      <c r="L630" s="4">
        <f>Table1[[#This Row],[Quantity]]*Table1[[#This Row],[Unit_Price]]</f>
        <v>91549.409999999989</v>
      </c>
      <c r="M630" s="4">
        <f>Table1[[#This Row],[Unit_Price]]-Table1[[#This Row],[Negotiated_Price]]</f>
        <v>7.2999999999999972</v>
      </c>
      <c r="N630" s="3">
        <f>(Table1[[#This Row],[Unit_Price]]-Table1[[#This Row],[Negotiated_Price]])/Table1[[#This Row],[Unit_Price]]</f>
        <v>9.2416761615394319E-2</v>
      </c>
      <c r="O630">
        <v>14</v>
      </c>
      <c r="P630" t="s">
        <v>15</v>
      </c>
      <c r="Q630">
        <f>IF(Table1[[#This Row],[Compliance]]="Yes", 1, 0)</f>
        <v>1</v>
      </c>
    </row>
    <row r="631" spans="1:17" x14ac:dyDescent="0.35">
      <c r="A631" t="s">
        <v>656</v>
      </c>
      <c r="B631" t="s">
        <v>23</v>
      </c>
      <c r="C631" s="1">
        <v>45015</v>
      </c>
      <c r="D631" s="1">
        <v>45021</v>
      </c>
      <c r="E631" s="1">
        <f>SUM(Table1[[#This Row],[Delivery_Date]]-Table1[[#This Row],[Order_Date]])</f>
        <v>6</v>
      </c>
      <c r="F631" t="s">
        <v>39</v>
      </c>
      <c r="G631" t="s">
        <v>18</v>
      </c>
      <c r="H631">
        <v>746</v>
      </c>
      <c r="I631" s="4">
        <v>16.989999999999998</v>
      </c>
      <c r="J631" s="4">
        <v>15.35</v>
      </c>
      <c r="K631" s="4">
        <f>Table1[[#This Row],[Quantity]]*Table1[[#This Row],[Negotiated_Price]]</f>
        <v>11451.1</v>
      </c>
      <c r="L631" s="4">
        <f>Table1[[#This Row],[Quantity]]*Table1[[#This Row],[Unit_Price]]</f>
        <v>12674.539999999999</v>
      </c>
      <c r="M631" s="4">
        <f>Table1[[#This Row],[Unit_Price]]-Table1[[#This Row],[Negotiated_Price]]</f>
        <v>1.6399999999999988</v>
      </c>
      <c r="N631" s="3">
        <f>(Table1[[#This Row],[Unit_Price]]-Table1[[#This Row],[Negotiated_Price]])/Table1[[#This Row],[Unit_Price]]</f>
        <v>9.6527369040612057E-2</v>
      </c>
      <c r="O631">
        <v>69</v>
      </c>
      <c r="P631" t="s">
        <v>27</v>
      </c>
      <c r="Q631">
        <f>IF(Table1[[#This Row],[Compliance]]="Yes", 1, 0)</f>
        <v>0</v>
      </c>
    </row>
    <row r="632" spans="1:17" x14ac:dyDescent="0.35">
      <c r="A632" t="s">
        <v>657</v>
      </c>
      <c r="B632" t="s">
        <v>23</v>
      </c>
      <c r="C632" s="1">
        <v>45189</v>
      </c>
      <c r="D632" s="1">
        <v>45205</v>
      </c>
      <c r="E632" s="1">
        <f>SUM(Table1[[#This Row],[Delivery_Date]]-Table1[[#This Row],[Order_Date]])</f>
        <v>16</v>
      </c>
      <c r="F632" t="s">
        <v>24</v>
      </c>
      <c r="G632" t="s">
        <v>18</v>
      </c>
      <c r="H632">
        <v>1358</v>
      </c>
      <c r="I632" s="4">
        <v>42.21</v>
      </c>
      <c r="J632" s="4">
        <v>38.75</v>
      </c>
      <c r="K632" s="4">
        <f>Table1[[#This Row],[Quantity]]*Table1[[#This Row],[Negotiated_Price]]</f>
        <v>52622.5</v>
      </c>
      <c r="L632" s="4">
        <f>Table1[[#This Row],[Quantity]]*Table1[[#This Row],[Unit_Price]]</f>
        <v>57321.18</v>
      </c>
      <c r="M632" s="4">
        <f>Table1[[#This Row],[Unit_Price]]-Table1[[#This Row],[Negotiated_Price]]</f>
        <v>3.4600000000000009</v>
      </c>
      <c r="N632" s="3">
        <f>(Table1[[#This Row],[Unit_Price]]-Table1[[#This Row],[Negotiated_Price]])/Table1[[#This Row],[Unit_Price]]</f>
        <v>8.1971096896470044E-2</v>
      </c>
      <c r="O632">
        <v>128</v>
      </c>
      <c r="P632" t="s">
        <v>15</v>
      </c>
      <c r="Q632">
        <f>IF(Table1[[#This Row],[Compliance]]="Yes", 1, 0)</f>
        <v>1</v>
      </c>
    </row>
    <row r="633" spans="1:17" x14ac:dyDescent="0.35">
      <c r="A633" t="s">
        <v>658</v>
      </c>
      <c r="B633" t="s">
        <v>20</v>
      </c>
      <c r="C633" s="1">
        <v>45078</v>
      </c>
      <c r="D633" s="1">
        <v>45089</v>
      </c>
      <c r="E633" s="1">
        <f>SUM(Table1[[#This Row],[Delivery_Date]]-Table1[[#This Row],[Order_Date]])</f>
        <v>11</v>
      </c>
      <c r="F633" t="s">
        <v>13</v>
      </c>
      <c r="G633" t="s">
        <v>18</v>
      </c>
      <c r="H633">
        <v>1293</v>
      </c>
      <c r="I633" s="4">
        <v>63.53</v>
      </c>
      <c r="J633" s="4">
        <v>59.42</v>
      </c>
      <c r="K633" s="4">
        <f>Table1[[#This Row],[Quantity]]*Table1[[#This Row],[Negotiated_Price]]</f>
        <v>76830.06</v>
      </c>
      <c r="L633" s="4">
        <f>Table1[[#This Row],[Quantity]]*Table1[[#This Row],[Unit_Price]]</f>
        <v>82144.290000000008</v>
      </c>
      <c r="M633" s="4">
        <f>Table1[[#This Row],[Unit_Price]]-Table1[[#This Row],[Negotiated_Price]]</f>
        <v>4.1099999999999994</v>
      </c>
      <c r="N633" s="3">
        <f>(Table1[[#This Row],[Unit_Price]]-Table1[[#This Row],[Negotiated_Price]])/Table1[[#This Row],[Unit_Price]]</f>
        <v>6.4693845427357149E-2</v>
      </c>
      <c r="O633">
        <v>79</v>
      </c>
      <c r="P633" t="s">
        <v>15</v>
      </c>
      <c r="Q633">
        <f>IF(Table1[[#This Row],[Compliance]]="Yes", 1, 0)</f>
        <v>1</v>
      </c>
    </row>
    <row r="634" spans="1:17" x14ac:dyDescent="0.35">
      <c r="A634" t="s">
        <v>659</v>
      </c>
      <c r="B634" t="s">
        <v>12</v>
      </c>
      <c r="C634" s="1">
        <v>44998</v>
      </c>
      <c r="D634" s="1">
        <v>45009</v>
      </c>
      <c r="E634" s="1">
        <f>SUM(Table1[[#This Row],[Delivery_Date]]-Table1[[#This Row],[Order_Date]])</f>
        <v>11</v>
      </c>
      <c r="F634" t="s">
        <v>39</v>
      </c>
      <c r="G634" t="s">
        <v>18</v>
      </c>
      <c r="H634">
        <v>1142</v>
      </c>
      <c r="I634" s="4">
        <v>86.85</v>
      </c>
      <c r="J634" s="4">
        <v>74.28</v>
      </c>
      <c r="K634" s="4">
        <f>Table1[[#This Row],[Quantity]]*Table1[[#This Row],[Negotiated_Price]]</f>
        <v>84827.76</v>
      </c>
      <c r="L634" s="4">
        <f>Table1[[#This Row],[Quantity]]*Table1[[#This Row],[Unit_Price]]</f>
        <v>99182.7</v>
      </c>
      <c r="M634" s="4">
        <f>Table1[[#This Row],[Unit_Price]]-Table1[[#This Row],[Negotiated_Price]]</f>
        <v>12.569999999999993</v>
      </c>
      <c r="N634" s="3">
        <f>(Table1[[#This Row],[Unit_Price]]-Table1[[#This Row],[Negotiated_Price]])/Table1[[#This Row],[Unit_Price]]</f>
        <v>0.14473229706390323</v>
      </c>
      <c r="O634">
        <v>30</v>
      </c>
      <c r="P634" t="s">
        <v>15</v>
      </c>
      <c r="Q634">
        <f>IF(Table1[[#This Row],[Compliance]]="Yes", 1, 0)</f>
        <v>1</v>
      </c>
    </row>
    <row r="635" spans="1:17" x14ac:dyDescent="0.35">
      <c r="A635" t="s">
        <v>660</v>
      </c>
      <c r="B635" t="s">
        <v>29</v>
      </c>
      <c r="C635" s="1">
        <v>45123</v>
      </c>
      <c r="D635" s="1">
        <v>45134</v>
      </c>
      <c r="E635" s="1">
        <f>SUM(Table1[[#This Row],[Delivery_Date]]-Table1[[#This Row],[Order_Date]])</f>
        <v>11</v>
      </c>
      <c r="F635" t="s">
        <v>21</v>
      </c>
      <c r="G635" t="s">
        <v>18</v>
      </c>
      <c r="H635">
        <v>1120</v>
      </c>
      <c r="I635" s="4">
        <v>42.17</v>
      </c>
      <c r="J635" s="4">
        <v>37.47</v>
      </c>
      <c r="K635" s="4">
        <f>Table1[[#This Row],[Quantity]]*Table1[[#This Row],[Negotiated_Price]]</f>
        <v>41966.400000000001</v>
      </c>
      <c r="L635" s="4">
        <f>Table1[[#This Row],[Quantity]]*Table1[[#This Row],[Unit_Price]]</f>
        <v>47230.400000000001</v>
      </c>
      <c r="M635" s="4">
        <f>Table1[[#This Row],[Unit_Price]]-Table1[[#This Row],[Negotiated_Price]]</f>
        <v>4.7000000000000028</v>
      </c>
      <c r="N635" s="3">
        <f>(Table1[[#This Row],[Unit_Price]]-Table1[[#This Row],[Negotiated_Price]])/Table1[[#This Row],[Unit_Price]]</f>
        <v>0.11145364002845631</v>
      </c>
      <c r="O635">
        <v>33</v>
      </c>
      <c r="P635" t="s">
        <v>15</v>
      </c>
      <c r="Q635">
        <f>IF(Table1[[#This Row],[Compliance]]="Yes", 1, 0)</f>
        <v>1</v>
      </c>
    </row>
    <row r="636" spans="1:17" x14ac:dyDescent="0.35">
      <c r="A636" t="s">
        <v>661</v>
      </c>
      <c r="B636" t="s">
        <v>12</v>
      </c>
      <c r="C636" s="1">
        <v>45018</v>
      </c>
      <c r="D636" s="1">
        <v>45030</v>
      </c>
      <c r="E636" s="1">
        <f>SUM(Table1[[#This Row],[Delivery_Date]]-Table1[[#This Row],[Order_Date]])</f>
        <v>12</v>
      </c>
      <c r="F636" t="s">
        <v>21</v>
      </c>
      <c r="G636" t="s">
        <v>18</v>
      </c>
      <c r="H636">
        <v>1058</v>
      </c>
      <c r="I636" s="4">
        <v>71.3</v>
      </c>
      <c r="J636" s="4">
        <v>62.04</v>
      </c>
      <c r="K636" s="4">
        <f>Table1[[#This Row],[Quantity]]*Table1[[#This Row],[Negotiated_Price]]</f>
        <v>65638.319999999992</v>
      </c>
      <c r="L636" s="4">
        <f>Table1[[#This Row],[Quantity]]*Table1[[#This Row],[Unit_Price]]</f>
        <v>75435.399999999994</v>
      </c>
      <c r="M636" s="4">
        <f>Table1[[#This Row],[Unit_Price]]-Table1[[#This Row],[Negotiated_Price]]</f>
        <v>9.259999999999998</v>
      </c>
      <c r="N636" s="3">
        <f>(Table1[[#This Row],[Unit_Price]]-Table1[[#This Row],[Negotiated_Price]])/Table1[[#This Row],[Unit_Price]]</f>
        <v>0.12987377279102383</v>
      </c>
      <c r="P636" t="s">
        <v>15</v>
      </c>
      <c r="Q636">
        <f>IF(Table1[[#This Row],[Compliance]]="Yes", 1, 0)</f>
        <v>1</v>
      </c>
    </row>
    <row r="637" spans="1:17" hidden="1" x14ac:dyDescent="0.35">
      <c r="A637" t="s">
        <v>662</v>
      </c>
      <c r="B637" t="s">
        <v>29</v>
      </c>
      <c r="C637" s="1">
        <v>44724</v>
      </c>
      <c r="E637" s="1">
        <f>SUM(Table1[[#This Row],[Delivery_Date]]-Table1[[#This Row],[Order_Date]])</f>
        <v>-44724</v>
      </c>
      <c r="F637" t="s">
        <v>13</v>
      </c>
      <c r="G637" t="s">
        <v>18</v>
      </c>
      <c r="H637">
        <v>143</v>
      </c>
      <c r="I637">
        <v>91.98</v>
      </c>
      <c r="J637">
        <v>86.02</v>
      </c>
      <c r="K637">
        <f>Table1[[#This Row],[Quantity]]*Table1[[#This Row],[Negotiated_Price]]</f>
        <v>12300.859999999999</v>
      </c>
      <c r="L637" s="5">
        <f>Table1[[#This Row],[Quantity]]*Table1[[#This Row],[Unit_Price]]</f>
        <v>13153.140000000001</v>
      </c>
      <c r="M637">
        <f>Table1[[#This Row],[Unit_Price]]-Table1[[#This Row],[Negotiated_Price]]</f>
        <v>5.960000000000008</v>
      </c>
      <c r="N637" s="2">
        <f>(Table1[[#This Row],[Unit_Price]]-Table1[[#This Row],[Negotiated_Price]])/Table1[[#This Row],[Unit_Price]]</f>
        <v>6.4796694933681315E-2</v>
      </c>
      <c r="O637">
        <v>5</v>
      </c>
      <c r="P637" t="s">
        <v>15</v>
      </c>
      <c r="Q637">
        <f>IF(Table1[[#This Row],[Compliance]]="Yes", 1, 0)</f>
        <v>1</v>
      </c>
    </row>
    <row r="638" spans="1:17" x14ac:dyDescent="0.35">
      <c r="A638" t="s">
        <v>663</v>
      </c>
      <c r="B638" t="s">
        <v>23</v>
      </c>
      <c r="C638" s="1">
        <v>45048</v>
      </c>
      <c r="D638" s="1">
        <v>45060</v>
      </c>
      <c r="E638" s="1">
        <f>SUM(Table1[[#This Row],[Delivery_Date]]-Table1[[#This Row],[Order_Date]])</f>
        <v>12</v>
      </c>
      <c r="F638" t="s">
        <v>21</v>
      </c>
      <c r="G638" t="s">
        <v>18</v>
      </c>
      <c r="H638">
        <v>1823</v>
      </c>
      <c r="I638" s="4">
        <v>70.66</v>
      </c>
      <c r="J638" s="4">
        <v>66.92</v>
      </c>
      <c r="K638" s="4">
        <f>Table1[[#This Row],[Quantity]]*Table1[[#This Row],[Negotiated_Price]]</f>
        <v>121995.16</v>
      </c>
      <c r="L638" s="4">
        <f>Table1[[#This Row],[Quantity]]*Table1[[#This Row],[Unit_Price]]</f>
        <v>128813.18</v>
      </c>
      <c r="M638" s="4">
        <f>Table1[[#This Row],[Unit_Price]]-Table1[[#This Row],[Negotiated_Price]]</f>
        <v>3.7399999999999949</v>
      </c>
      <c r="N638" s="3">
        <f>(Table1[[#This Row],[Unit_Price]]-Table1[[#This Row],[Negotiated_Price]])/Table1[[#This Row],[Unit_Price]]</f>
        <v>5.2929521652986061E-2</v>
      </c>
      <c r="O638">
        <v>202</v>
      </c>
      <c r="P638" t="s">
        <v>15</v>
      </c>
      <c r="Q638">
        <f>IF(Table1[[#This Row],[Compliance]]="Yes", 1, 0)</f>
        <v>1</v>
      </c>
    </row>
    <row r="639" spans="1:17" x14ac:dyDescent="0.35">
      <c r="A639" t="s">
        <v>664</v>
      </c>
      <c r="B639" t="s">
        <v>20</v>
      </c>
      <c r="C639" s="1">
        <v>45022</v>
      </c>
      <c r="D639" s="1">
        <v>45026</v>
      </c>
      <c r="E639" s="1">
        <f>SUM(Table1[[#This Row],[Delivery_Date]]-Table1[[#This Row],[Order_Date]])</f>
        <v>4</v>
      </c>
      <c r="F639" t="s">
        <v>13</v>
      </c>
      <c r="G639" t="s">
        <v>18</v>
      </c>
      <c r="H639">
        <v>1007</v>
      </c>
      <c r="I639" s="4">
        <v>33.29</v>
      </c>
      <c r="J639" s="4">
        <v>28.48</v>
      </c>
      <c r="K639" s="4">
        <f>Table1[[#This Row],[Quantity]]*Table1[[#This Row],[Negotiated_Price]]</f>
        <v>28679.360000000001</v>
      </c>
      <c r="L639" s="4">
        <f>Table1[[#This Row],[Quantity]]*Table1[[#This Row],[Unit_Price]]</f>
        <v>33523.03</v>
      </c>
      <c r="M639" s="4">
        <f>Table1[[#This Row],[Unit_Price]]-Table1[[#This Row],[Negotiated_Price]]</f>
        <v>4.8099999999999987</v>
      </c>
      <c r="N639" s="3">
        <f>(Table1[[#This Row],[Unit_Price]]-Table1[[#This Row],[Negotiated_Price]])/Table1[[#This Row],[Unit_Price]]</f>
        <v>0.14448783418443975</v>
      </c>
      <c r="O639">
        <v>49</v>
      </c>
      <c r="P639" t="s">
        <v>15</v>
      </c>
      <c r="Q639">
        <f>IF(Table1[[#This Row],[Compliance]]="Yes", 1, 0)</f>
        <v>1</v>
      </c>
    </row>
    <row r="640" spans="1:17" x14ac:dyDescent="0.35">
      <c r="A640" t="s">
        <v>665</v>
      </c>
      <c r="B640" t="s">
        <v>20</v>
      </c>
      <c r="C640" s="1">
        <v>44827</v>
      </c>
      <c r="D640" s="1">
        <v>44842</v>
      </c>
      <c r="E640" s="1">
        <f>SUM(Table1[[#This Row],[Delivery_Date]]-Table1[[#This Row],[Order_Date]])</f>
        <v>15</v>
      </c>
      <c r="F640" t="s">
        <v>24</v>
      </c>
      <c r="G640" t="s">
        <v>18</v>
      </c>
      <c r="H640">
        <v>1061</v>
      </c>
      <c r="I640" s="4">
        <v>12.68</v>
      </c>
      <c r="J640" s="4">
        <v>12.36</v>
      </c>
      <c r="K640" s="4">
        <f>Table1[[#This Row],[Quantity]]*Table1[[#This Row],[Negotiated_Price]]</f>
        <v>13113.96</v>
      </c>
      <c r="L640" s="4">
        <f>Table1[[#This Row],[Quantity]]*Table1[[#This Row],[Unit_Price]]</f>
        <v>13453.48</v>
      </c>
      <c r="M640" s="4">
        <f>Table1[[#This Row],[Unit_Price]]-Table1[[#This Row],[Negotiated_Price]]</f>
        <v>0.32000000000000028</v>
      </c>
      <c r="N640" s="3">
        <f>(Table1[[#This Row],[Unit_Price]]-Table1[[#This Row],[Negotiated_Price]])/Table1[[#This Row],[Unit_Price]]</f>
        <v>2.5236593059936932E-2</v>
      </c>
      <c r="O640">
        <v>56</v>
      </c>
      <c r="P640" t="s">
        <v>27</v>
      </c>
      <c r="Q640">
        <f>IF(Table1[[#This Row],[Compliance]]="Yes", 1, 0)</f>
        <v>0</v>
      </c>
    </row>
    <row r="641" spans="1:17" x14ac:dyDescent="0.35">
      <c r="A641" t="s">
        <v>666</v>
      </c>
      <c r="B641" t="s">
        <v>23</v>
      </c>
      <c r="C641" s="1">
        <v>44815</v>
      </c>
      <c r="D641" s="1">
        <v>44830</v>
      </c>
      <c r="E641" s="1">
        <f>SUM(Table1[[#This Row],[Delivery_Date]]-Table1[[#This Row],[Order_Date]])</f>
        <v>15</v>
      </c>
      <c r="F641" t="s">
        <v>21</v>
      </c>
      <c r="G641" t="s">
        <v>35</v>
      </c>
      <c r="H641">
        <v>502</v>
      </c>
      <c r="I641" s="4">
        <v>91.84</v>
      </c>
      <c r="J641" s="4">
        <v>82.33</v>
      </c>
      <c r="K641" s="4">
        <f>Table1[[#This Row],[Quantity]]*Table1[[#This Row],[Negotiated_Price]]</f>
        <v>41329.659999999996</v>
      </c>
      <c r="L641" s="4">
        <f>Table1[[#This Row],[Quantity]]*Table1[[#This Row],[Unit_Price]]</f>
        <v>46103.68</v>
      </c>
      <c r="M641" s="4">
        <f>Table1[[#This Row],[Unit_Price]]-Table1[[#This Row],[Negotiated_Price]]</f>
        <v>9.5100000000000051</v>
      </c>
      <c r="N641" s="3">
        <f>(Table1[[#This Row],[Unit_Price]]-Table1[[#This Row],[Negotiated_Price]])/Table1[[#This Row],[Unit_Price]]</f>
        <v>0.10354965156794431</v>
      </c>
      <c r="P641" t="s">
        <v>15</v>
      </c>
      <c r="Q641">
        <f>IF(Table1[[#This Row],[Compliance]]="Yes", 1, 0)</f>
        <v>1</v>
      </c>
    </row>
    <row r="642" spans="1:17" x14ac:dyDescent="0.35">
      <c r="A642" t="s">
        <v>667</v>
      </c>
      <c r="B642" t="s">
        <v>17</v>
      </c>
      <c r="C642" s="1">
        <v>45214</v>
      </c>
      <c r="D642" s="1">
        <v>45218</v>
      </c>
      <c r="E642" s="1">
        <f>SUM(Table1[[#This Row],[Delivery_Date]]-Table1[[#This Row],[Order_Date]])</f>
        <v>4</v>
      </c>
      <c r="F642" t="s">
        <v>24</v>
      </c>
      <c r="G642" t="s">
        <v>18</v>
      </c>
      <c r="H642">
        <v>1277</v>
      </c>
      <c r="I642" s="4">
        <v>13.17</v>
      </c>
      <c r="J642" s="4">
        <v>11.63</v>
      </c>
      <c r="K642" s="4">
        <f>Table1[[#This Row],[Quantity]]*Table1[[#This Row],[Negotiated_Price]]</f>
        <v>14851.51</v>
      </c>
      <c r="L642" s="4">
        <f>Table1[[#This Row],[Quantity]]*Table1[[#This Row],[Unit_Price]]</f>
        <v>16818.09</v>
      </c>
      <c r="M642" s="4">
        <f>Table1[[#This Row],[Unit_Price]]-Table1[[#This Row],[Negotiated_Price]]</f>
        <v>1.5399999999999991</v>
      </c>
      <c r="N642" s="3">
        <f>(Table1[[#This Row],[Unit_Price]]-Table1[[#This Row],[Negotiated_Price]])/Table1[[#This Row],[Unit_Price]]</f>
        <v>0.11693242217160206</v>
      </c>
      <c r="O642">
        <v>199</v>
      </c>
      <c r="P642" t="s">
        <v>27</v>
      </c>
      <c r="Q642">
        <f>IF(Table1[[#This Row],[Compliance]]="Yes", 1, 0)</f>
        <v>0</v>
      </c>
    </row>
    <row r="643" spans="1:17" x14ac:dyDescent="0.35">
      <c r="A643" t="s">
        <v>668</v>
      </c>
      <c r="B643" t="s">
        <v>12</v>
      </c>
      <c r="C643" s="1">
        <v>44845</v>
      </c>
      <c r="D643" s="1">
        <v>44858</v>
      </c>
      <c r="E643" s="1">
        <f>SUM(Table1[[#This Row],[Delivery_Date]]-Table1[[#This Row],[Order_Date]])</f>
        <v>13</v>
      </c>
      <c r="F643" t="s">
        <v>24</v>
      </c>
      <c r="G643" t="s">
        <v>18</v>
      </c>
      <c r="H643">
        <v>961</v>
      </c>
      <c r="I643" s="4">
        <v>92.72</v>
      </c>
      <c r="J643" s="4">
        <v>88.49</v>
      </c>
      <c r="K643" s="4">
        <f>Table1[[#This Row],[Quantity]]*Table1[[#This Row],[Negotiated_Price]]</f>
        <v>85038.89</v>
      </c>
      <c r="L643" s="4">
        <f>Table1[[#This Row],[Quantity]]*Table1[[#This Row],[Unit_Price]]</f>
        <v>89103.92</v>
      </c>
      <c r="M643" s="4">
        <f>Table1[[#This Row],[Unit_Price]]-Table1[[#This Row],[Negotiated_Price]]</f>
        <v>4.230000000000004</v>
      </c>
      <c r="N643" s="3">
        <f>(Table1[[#This Row],[Unit_Price]]-Table1[[#This Row],[Negotiated_Price]])/Table1[[#This Row],[Unit_Price]]</f>
        <v>4.5621225194132919E-2</v>
      </c>
      <c r="O643">
        <v>22</v>
      </c>
      <c r="P643" t="s">
        <v>15</v>
      </c>
      <c r="Q643">
        <f>IF(Table1[[#This Row],[Compliance]]="Yes", 1, 0)</f>
        <v>1</v>
      </c>
    </row>
    <row r="644" spans="1:17" x14ac:dyDescent="0.35">
      <c r="A644" t="s">
        <v>669</v>
      </c>
      <c r="B644" t="s">
        <v>20</v>
      </c>
      <c r="C644" s="1">
        <v>45095</v>
      </c>
      <c r="D644" s="1">
        <v>45109</v>
      </c>
      <c r="E644" s="1">
        <f>SUM(Table1[[#This Row],[Delivery_Date]]-Table1[[#This Row],[Order_Date]])</f>
        <v>14</v>
      </c>
      <c r="F644" t="s">
        <v>24</v>
      </c>
      <c r="G644" t="s">
        <v>18</v>
      </c>
      <c r="H644">
        <v>267</v>
      </c>
      <c r="I644" s="4">
        <v>62.5</v>
      </c>
      <c r="J644" s="4">
        <v>61.18</v>
      </c>
      <c r="K644" s="4">
        <f>Table1[[#This Row],[Quantity]]*Table1[[#This Row],[Negotiated_Price]]</f>
        <v>16335.06</v>
      </c>
      <c r="L644" s="4">
        <f>Table1[[#This Row],[Quantity]]*Table1[[#This Row],[Unit_Price]]</f>
        <v>16687.5</v>
      </c>
      <c r="M644" s="4">
        <f>Table1[[#This Row],[Unit_Price]]-Table1[[#This Row],[Negotiated_Price]]</f>
        <v>1.3200000000000003</v>
      </c>
      <c r="N644" s="3">
        <f>(Table1[[#This Row],[Unit_Price]]-Table1[[#This Row],[Negotiated_Price]])/Table1[[#This Row],[Unit_Price]]</f>
        <v>2.1120000000000003E-2</v>
      </c>
      <c r="O644">
        <v>17</v>
      </c>
      <c r="P644" t="s">
        <v>15</v>
      </c>
      <c r="Q644">
        <f>IF(Table1[[#This Row],[Compliance]]="Yes", 1, 0)</f>
        <v>1</v>
      </c>
    </row>
    <row r="645" spans="1:17" x14ac:dyDescent="0.35">
      <c r="A645" t="s">
        <v>670</v>
      </c>
      <c r="B645" t="s">
        <v>17</v>
      </c>
      <c r="C645" s="1">
        <v>45058</v>
      </c>
      <c r="D645" s="1">
        <v>45064</v>
      </c>
      <c r="E645" s="1">
        <f>SUM(Table1[[#This Row],[Delivery_Date]]-Table1[[#This Row],[Order_Date]])</f>
        <v>6</v>
      </c>
      <c r="F645" t="s">
        <v>26</v>
      </c>
      <c r="G645" t="s">
        <v>14</v>
      </c>
      <c r="H645">
        <v>523</v>
      </c>
      <c r="I645" s="4">
        <v>102.08</v>
      </c>
      <c r="J645" s="4">
        <v>99.59</v>
      </c>
      <c r="K645" s="4">
        <f>Table1[[#This Row],[Quantity]]*Table1[[#This Row],[Negotiated_Price]]</f>
        <v>52085.57</v>
      </c>
      <c r="L645" s="4">
        <f>Table1[[#This Row],[Quantity]]*Table1[[#This Row],[Unit_Price]]</f>
        <v>53387.839999999997</v>
      </c>
      <c r="M645" s="4">
        <f>Table1[[#This Row],[Unit_Price]]-Table1[[#This Row],[Negotiated_Price]]</f>
        <v>2.4899999999999949</v>
      </c>
      <c r="N645" s="3">
        <f>(Table1[[#This Row],[Unit_Price]]-Table1[[#This Row],[Negotiated_Price]])/Table1[[#This Row],[Unit_Price]]</f>
        <v>2.4392633228840076E-2</v>
      </c>
      <c r="P645" t="s">
        <v>15</v>
      </c>
      <c r="Q645">
        <f>IF(Table1[[#This Row],[Compliance]]="Yes", 1, 0)</f>
        <v>1</v>
      </c>
    </row>
    <row r="646" spans="1:17" x14ac:dyDescent="0.35">
      <c r="A646" t="s">
        <v>671</v>
      </c>
      <c r="B646" t="s">
        <v>29</v>
      </c>
      <c r="C646" s="1">
        <v>45203</v>
      </c>
      <c r="D646" s="1">
        <v>45222</v>
      </c>
      <c r="E646" s="1">
        <f>SUM(Table1[[#This Row],[Delivery_Date]]-Table1[[#This Row],[Order_Date]])</f>
        <v>19</v>
      </c>
      <c r="F646" t="s">
        <v>39</v>
      </c>
      <c r="G646" t="s">
        <v>35</v>
      </c>
      <c r="H646">
        <v>481</v>
      </c>
      <c r="I646" s="4">
        <v>90.49</v>
      </c>
      <c r="J646" s="4">
        <v>77.17</v>
      </c>
      <c r="K646" s="4">
        <f>Table1[[#This Row],[Quantity]]*Table1[[#This Row],[Negotiated_Price]]</f>
        <v>37118.770000000004</v>
      </c>
      <c r="L646" s="4">
        <f>Table1[[#This Row],[Quantity]]*Table1[[#This Row],[Unit_Price]]</f>
        <v>43525.689999999995</v>
      </c>
      <c r="M646" s="4">
        <f>Table1[[#This Row],[Unit_Price]]-Table1[[#This Row],[Negotiated_Price]]</f>
        <v>13.319999999999993</v>
      </c>
      <c r="N646" s="3">
        <f>(Table1[[#This Row],[Unit_Price]]-Table1[[#This Row],[Negotiated_Price]])/Table1[[#This Row],[Unit_Price]]</f>
        <v>0.1471985854790584</v>
      </c>
      <c r="P646" t="s">
        <v>15</v>
      </c>
      <c r="Q646">
        <f>IF(Table1[[#This Row],[Compliance]]="Yes", 1, 0)</f>
        <v>1</v>
      </c>
    </row>
    <row r="647" spans="1:17" x14ac:dyDescent="0.35">
      <c r="A647" t="s">
        <v>672</v>
      </c>
      <c r="B647" t="s">
        <v>20</v>
      </c>
      <c r="C647" s="1">
        <v>44806</v>
      </c>
      <c r="D647" s="1">
        <v>44813</v>
      </c>
      <c r="E647" s="1">
        <f>SUM(Table1[[#This Row],[Delivery_Date]]-Table1[[#This Row],[Order_Date]])</f>
        <v>7</v>
      </c>
      <c r="F647" t="s">
        <v>13</v>
      </c>
      <c r="G647" t="s">
        <v>18</v>
      </c>
      <c r="H647">
        <v>390</v>
      </c>
      <c r="I647" s="4">
        <v>103.81</v>
      </c>
      <c r="J647" s="4">
        <v>100.12</v>
      </c>
      <c r="K647" s="4">
        <f>Table1[[#This Row],[Quantity]]*Table1[[#This Row],[Negotiated_Price]]</f>
        <v>39046.800000000003</v>
      </c>
      <c r="L647" s="4">
        <f>Table1[[#This Row],[Quantity]]*Table1[[#This Row],[Unit_Price]]</f>
        <v>40485.9</v>
      </c>
      <c r="M647" s="4">
        <f>Table1[[#This Row],[Unit_Price]]-Table1[[#This Row],[Negotiated_Price]]</f>
        <v>3.6899999999999977</v>
      </c>
      <c r="N647" s="3">
        <f>(Table1[[#This Row],[Unit_Price]]-Table1[[#This Row],[Negotiated_Price]])/Table1[[#This Row],[Unit_Price]]</f>
        <v>3.5545708505924263E-2</v>
      </c>
      <c r="O647">
        <v>20</v>
      </c>
      <c r="P647" t="s">
        <v>15</v>
      </c>
      <c r="Q647">
        <f>IF(Table1[[#This Row],[Compliance]]="Yes", 1, 0)</f>
        <v>1</v>
      </c>
    </row>
    <row r="648" spans="1:17" x14ac:dyDescent="0.35">
      <c r="A648" t="s">
        <v>673</v>
      </c>
      <c r="B648" t="s">
        <v>29</v>
      </c>
      <c r="C648" s="1">
        <v>44843</v>
      </c>
      <c r="D648" s="1">
        <v>44859</v>
      </c>
      <c r="E648" s="1">
        <f>SUM(Table1[[#This Row],[Delivery_Date]]-Table1[[#This Row],[Order_Date]])</f>
        <v>16</v>
      </c>
      <c r="F648" t="s">
        <v>24</v>
      </c>
      <c r="G648" t="s">
        <v>18</v>
      </c>
      <c r="H648">
        <v>600</v>
      </c>
      <c r="I648" s="4">
        <v>43.43</v>
      </c>
      <c r="J648" s="4">
        <v>38.76</v>
      </c>
      <c r="K648" s="4">
        <f>Table1[[#This Row],[Quantity]]*Table1[[#This Row],[Negotiated_Price]]</f>
        <v>23256</v>
      </c>
      <c r="L648" s="4">
        <f>Table1[[#This Row],[Quantity]]*Table1[[#This Row],[Unit_Price]]</f>
        <v>26058</v>
      </c>
      <c r="M648" s="4">
        <f>Table1[[#This Row],[Unit_Price]]-Table1[[#This Row],[Negotiated_Price]]</f>
        <v>4.6700000000000017</v>
      </c>
      <c r="N648" s="3">
        <f>(Table1[[#This Row],[Unit_Price]]-Table1[[#This Row],[Negotiated_Price]])/Table1[[#This Row],[Unit_Price]]</f>
        <v>0.10752935758692152</v>
      </c>
      <c r="O648">
        <v>22</v>
      </c>
      <c r="P648" t="s">
        <v>15</v>
      </c>
      <c r="Q648">
        <f>IF(Table1[[#This Row],[Compliance]]="Yes", 1, 0)</f>
        <v>1</v>
      </c>
    </row>
    <row r="649" spans="1:17" hidden="1" x14ac:dyDescent="0.35">
      <c r="A649" t="s">
        <v>674</v>
      </c>
      <c r="B649" t="s">
        <v>17</v>
      </c>
      <c r="C649" s="1">
        <v>45012</v>
      </c>
      <c r="E649" s="1">
        <f>SUM(Table1[[#This Row],[Delivery_Date]]-Table1[[#This Row],[Order_Date]])</f>
        <v>-45012</v>
      </c>
      <c r="F649" t="s">
        <v>13</v>
      </c>
      <c r="G649" t="s">
        <v>18</v>
      </c>
      <c r="H649">
        <v>1685</v>
      </c>
      <c r="I649">
        <v>84.58</v>
      </c>
      <c r="J649">
        <v>75.209999999999994</v>
      </c>
      <c r="K649">
        <f>Table1[[#This Row],[Quantity]]*Table1[[#This Row],[Negotiated_Price]]</f>
        <v>126728.84999999999</v>
      </c>
      <c r="L649" s="5">
        <f>Table1[[#This Row],[Quantity]]*Table1[[#This Row],[Unit_Price]]</f>
        <v>142517.29999999999</v>
      </c>
      <c r="M649">
        <f>Table1[[#This Row],[Unit_Price]]-Table1[[#This Row],[Negotiated_Price]]</f>
        <v>9.3700000000000045</v>
      </c>
      <c r="N649" s="2">
        <f>(Table1[[#This Row],[Unit_Price]]-Table1[[#This Row],[Negotiated_Price]])/Table1[[#This Row],[Unit_Price]]</f>
        <v>0.11078269094348552</v>
      </c>
      <c r="O649">
        <v>253</v>
      </c>
      <c r="P649" t="s">
        <v>27</v>
      </c>
      <c r="Q649">
        <f>IF(Table1[[#This Row],[Compliance]]="Yes", 1, 0)</f>
        <v>0</v>
      </c>
    </row>
    <row r="650" spans="1:17" x14ac:dyDescent="0.35">
      <c r="A650" t="s">
        <v>675</v>
      </c>
      <c r="B650" t="s">
        <v>29</v>
      </c>
      <c r="C650" s="1">
        <v>44641</v>
      </c>
      <c r="D650" s="1">
        <v>44651</v>
      </c>
      <c r="E650" s="1">
        <f>SUM(Table1[[#This Row],[Delivery_Date]]-Table1[[#This Row],[Order_Date]])</f>
        <v>10</v>
      </c>
      <c r="F650" t="s">
        <v>24</v>
      </c>
      <c r="G650" t="s">
        <v>14</v>
      </c>
      <c r="H650">
        <v>1362</v>
      </c>
      <c r="I650" s="4">
        <v>46.64</v>
      </c>
      <c r="J650" s="4">
        <v>42.85</v>
      </c>
      <c r="K650" s="4">
        <f>Table1[[#This Row],[Quantity]]*Table1[[#This Row],[Negotiated_Price]]</f>
        <v>58361.700000000004</v>
      </c>
      <c r="L650" s="4">
        <f>Table1[[#This Row],[Quantity]]*Table1[[#This Row],[Unit_Price]]</f>
        <v>63523.68</v>
      </c>
      <c r="M650" s="4">
        <f>Table1[[#This Row],[Unit_Price]]-Table1[[#This Row],[Negotiated_Price]]</f>
        <v>3.7899999999999991</v>
      </c>
      <c r="N650" s="3">
        <f>(Table1[[#This Row],[Unit_Price]]-Table1[[#This Row],[Negotiated_Price]])/Table1[[#This Row],[Unit_Price]]</f>
        <v>8.1260720411663795E-2</v>
      </c>
      <c r="O650">
        <v>33</v>
      </c>
      <c r="P650" t="s">
        <v>15</v>
      </c>
      <c r="Q650">
        <f>IF(Table1[[#This Row],[Compliance]]="Yes", 1, 0)</f>
        <v>1</v>
      </c>
    </row>
    <row r="651" spans="1:17" x14ac:dyDescent="0.35">
      <c r="A651" t="s">
        <v>676</v>
      </c>
      <c r="B651" t="s">
        <v>17</v>
      </c>
      <c r="C651" s="1">
        <v>45292</v>
      </c>
      <c r="D651" s="1">
        <v>45295</v>
      </c>
      <c r="E651" s="1">
        <f>SUM(Table1[[#This Row],[Delivery_Date]]-Table1[[#This Row],[Order_Date]])</f>
        <v>3</v>
      </c>
      <c r="F651" t="s">
        <v>39</v>
      </c>
      <c r="G651" t="s">
        <v>35</v>
      </c>
      <c r="H651">
        <v>1327</v>
      </c>
      <c r="I651" s="4">
        <v>59.57</v>
      </c>
      <c r="J651" s="4">
        <v>56.44</v>
      </c>
      <c r="K651" s="4">
        <f>Table1[[#This Row],[Quantity]]*Table1[[#This Row],[Negotiated_Price]]</f>
        <v>74895.87999999999</v>
      </c>
      <c r="L651" s="4">
        <f>Table1[[#This Row],[Quantity]]*Table1[[#This Row],[Unit_Price]]</f>
        <v>79049.39</v>
      </c>
      <c r="M651" s="4">
        <f>Table1[[#This Row],[Unit_Price]]-Table1[[#This Row],[Negotiated_Price]]</f>
        <v>3.1300000000000026</v>
      </c>
      <c r="N651" s="3">
        <f>(Table1[[#This Row],[Unit_Price]]-Table1[[#This Row],[Negotiated_Price]])/Table1[[#This Row],[Unit_Price]]</f>
        <v>5.2543226456269979E-2</v>
      </c>
      <c r="O651">
        <v>169</v>
      </c>
      <c r="P651" t="s">
        <v>15</v>
      </c>
      <c r="Q651">
        <f>IF(Table1[[#This Row],[Compliance]]="Yes", 1, 0)</f>
        <v>1</v>
      </c>
    </row>
    <row r="652" spans="1:17" hidden="1" x14ac:dyDescent="0.35">
      <c r="A652" t="s">
        <v>677</v>
      </c>
      <c r="B652" t="s">
        <v>29</v>
      </c>
      <c r="C652" s="1">
        <v>44854</v>
      </c>
      <c r="E652" s="1">
        <f>SUM(Table1[[#This Row],[Delivery_Date]]-Table1[[#This Row],[Order_Date]])</f>
        <v>-44854</v>
      </c>
      <c r="F652" t="s">
        <v>21</v>
      </c>
      <c r="G652" t="s">
        <v>18</v>
      </c>
      <c r="H652">
        <v>1807</v>
      </c>
      <c r="I652">
        <v>69.47</v>
      </c>
      <c r="J652">
        <v>60</v>
      </c>
      <c r="K652">
        <f>Table1[[#This Row],[Quantity]]*Table1[[#This Row],[Negotiated_Price]]</f>
        <v>108420</v>
      </c>
      <c r="L652" s="5">
        <f>Table1[[#This Row],[Quantity]]*Table1[[#This Row],[Unit_Price]]</f>
        <v>125532.29</v>
      </c>
      <c r="M652">
        <f>Table1[[#This Row],[Unit_Price]]-Table1[[#This Row],[Negotiated_Price]]</f>
        <v>9.4699999999999989</v>
      </c>
      <c r="N652" s="2">
        <f>(Table1[[#This Row],[Unit_Price]]-Table1[[#This Row],[Negotiated_Price]])/Table1[[#This Row],[Unit_Price]]</f>
        <v>0.13631783503670647</v>
      </c>
      <c r="O652">
        <v>50</v>
      </c>
      <c r="P652" t="s">
        <v>15</v>
      </c>
      <c r="Q652">
        <f>IF(Table1[[#This Row],[Compliance]]="Yes", 1, 0)</f>
        <v>1</v>
      </c>
    </row>
    <row r="653" spans="1:17" x14ac:dyDescent="0.35">
      <c r="A653" t="s">
        <v>678</v>
      </c>
      <c r="B653" t="s">
        <v>12</v>
      </c>
      <c r="C653" s="1">
        <v>44802</v>
      </c>
      <c r="D653" s="1">
        <v>44810</v>
      </c>
      <c r="E653" s="1">
        <f>SUM(Table1[[#This Row],[Delivery_Date]]-Table1[[#This Row],[Order_Date]])</f>
        <v>8</v>
      </c>
      <c r="F653" t="s">
        <v>13</v>
      </c>
      <c r="G653" t="s">
        <v>35</v>
      </c>
      <c r="H653">
        <v>406</v>
      </c>
      <c r="I653" s="4">
        <v>91.73</v>
      </c>
      <c r="J653" s="4">
        <v>89.13</v>
      </c>
      <c r="K653" s="4">
        <f>Table1[[#This Row],[Quantity]]*Table1[[#This Row],[Negotiated_Price]]</f>
        <v>36186.78</v>
      </c>
      <c r="L653" s="4">
        <f>Table1[[#This Row],[Quantity]]*Table1[[#This Row],[Unit_Price]]</f>
        <v>37242.380000000005</v>
      </c>
      <c r="M653" s="4">
        <f>Table1[[#This Row],[Unit_Price]]-Table1[[#This Row],[Negotiated_Price]]</f>
        <v>2.6000000000000085</v>
      </c>
      <c r="N653" s="3">
        <f>(Table1[[#This Row],[Unit_Price]]-Table1[[#This Row],[Negotiated_Price]])/Table1[[#This Row],[Unit_Price]]</f>
        <v>2.8344053199607637E-2</v>
      </c>
      <c r="P653" t="s">
        <v>15</v>
      </c>
      <c r="Q653">
        <f>IF(Table1[[#This Row],[Compliance]]="Yes", 1, 0)</f>
        <v>1</v>
      </c>
    </row>
    <row r="654" spans="1:17" x14ac:dyDescent="0.35">
      <c r="A654" t="s">
        <v>679</v>
      </c>
      <c r="B654" t="s">
        <v>20</v>
      </c>
      <c r="C654" s="1">
        <v>44840</v>
      </c>
      <c r="D654" s="1">
        <v>44852</v>
      </c>
      <c r="E654" s="1">
        <f>SUM(Table1[[#This Row],[Delivery_Date]]-Table1[[#This Row],[Order_Date]])</f>
        <v>12</v>
      </c>
      <c r="F654" t="s">
        <v>26</v>
      </c>
      <c r="G654" t="s">
        <v>33</v>
      </c>
      <c r="H654">
        <v>72</v>
      </c>
      <c r="I654" s="4">
        <v>103</v>
      </c>
      <c r="J654" s="4">
        <v>89.49</v>
      </c>
      <c r="K654" s="4">
        <f>Table1[[#This Row],[Quantity]]*Table1[[#This Row],[Negotiated_Price]]</f>
        <v>6443.28</v>
      </c>
      <c r="L654" s="4">
        <f>Table1[[#This Row],[Quantity]]*Table1[[#This Row],[Unit_Price]]</f>
        <v>7416</v>
      </c>
      <c r="M654" s="4">
        <f>Table1[[#This Row],[Unit_Price]]-Table1[[#This Row],[Negotiated_Price]]</f>
        <v>13.510000000000005</v>
      </c>
      <c r="N654" s="3">
        <f>(Table1[[#This Row],[Unit_Price]]-Table1[[#This Row],[Negotiated_Price]])/Table1[[#This Row],[Unit_Price]]</f>
        <v>0.13116504854368938</v>
      </c>
      <c r="O654">
        <v>1</v>
      </c>
      <c r="P654" t="s">
        <v>27</v>
      </c>
      <c r="Q654">
        <f>IF(Table1[[#This Row],[Compliance]]="Yes", 1, 0)</f>
        <v>0</v>
      </c>
    </row>
    <row r="655" spans="1:17" x14ac:dyDescent="0.35">
      <c r="A655" t="s">
        <v>680</v>
      </c>
      <c r="B655" t="s">
        <v>20</v>
      </c>
      <c r="C655" s="1">
        <v>44905</v>
      </c>
      <c r="D655" s="1">
        <v>44915</v>
      </c>
      <c r="E655" s="1">
        <f>SUM(Table1[[#This Row],[Delivery_Date]]-Table1[[#This Row],[Order_Date]])</f>
        <v>10</v>
      </c>
      <c r="F655" t="s">
        <v>13</v>
      </c>
      <c r="G655" t="s">
        <v>18</v>
      </c>
      <c r="H655">
        <v>1835</v>
      </c>
      <c r="I655" s="4">
        <v>83.5</v>
      </c>
      <c r="J655" s="4">
        <v>82.36</v>
      </c>
      <c r="K655" s="4">
        <f>Table1[[#This Row],[Quantity]]*Table1[[#This Row],[Negotiated_Price]]</f>
        <v>151130.6</v>
      </c>
      <c r="L655" s="4">
        <f>Table1[[#This Row],[Quantity]]*Table1[[#This Row],[Unit_Price]]</f>
        <v>153222.5</v>
      </c>
      <c r="M655" s="4">
        <f>Table1[[#This Row],[Unit_Price]]-Table1[[#This Row],[Negotiated_Price]]</f>
        <v>1.1400000000000006</v>
      </c>
      <c r="N655" s="3">
        <f>(Table1[[#This Row],[Unit_Price]]-Table1[[#This Row],[Negotiated_Price]])/Table1[[#This Row],[Unit_Price]]</f>
        <v>1.365269461077845E-2</v>
      </c>
      <c r="O655">
        <v>85</v>
      </c>
      <c r="P655" t="s">
        <v>27</v>
      </c>
      <c r="Q655">
        <f>IF(Table1[[#This Row],[Compliance]]="Yes", 1, 0)</f>
        <v>0</v>
      </c>
    </row>
    <row r="656" spans="1:17" x14ac:dyDescent="0.35">
      <c r="A656" t="s">
        <v>681</v>
      </c>
      <c r="B656" t="s">
        <v>17</v>
      </c>
      <c r="C656" s="1">
        <v>44889</v>
      </c>
      <c r="D656" s="1">
        <v>44905</v>
      </c>
      <c r="E656" s="1">
        <f>SUM(Table1[[#This Row],[Delivery_Date]]-Table1[[#This Row],[Order_Date]])</f>
        <v>16</v>
      </c>
      <c r="F656" t="s">
        <v>39</v>
      </c>
      <c r="G656" t="s">
        <v>35</v>
      </c>
      <c r="H656">
        <v>571</v>
      </c>
      <c r="I656" s="4">
        <v>49.98</v>
      </c>
      <c r="J656" s="4">
        <v>45.58</v>
      </c>
      <c r="K656" s="4">
        <f>Table1[[#This Row],[Quantity]]*Table1[[#This Row],[Negotiated_Price]]</f>
        <v>26026.18</v>
      </c>
      <c r="L656" s="4">
        <f>Table1[[#This Row],[Quantity]]*Table1[[#This Row],[Unit_Price]]</f>
        <v>28538.579999999998</v>
      </c>
      <c r="M656" s="4">
        <f>Table1[[#This Row],[Unit_Price]]-Table1[[#This Row],[Negotiated_Price]]</f>
        <v>4.3999999999999986</v>
      </c>
      <c r="N656" s="3">
        <f>(Table1[[#This Row],[Unit_Price]]-Table1[[#This Row],[Negotiated_Price]])/Table1[[#This Row],[Unit_Price]]</f>
        <v>8.8035214085634236E-2</v>
      </c>
      <c r="P656" t="s">
        <v>27</v>
      </c>
      <c r="Q656">
        <f>IF(Table1[[#This Row],[Compliance]]="Yes", 1, 0)</f>
        <v>0</v>
      </c>
    </row>
    <row r="657" spans="1:17" x14ac:dyDescent="0.35">
      <c r="A657" t="s">
        <v>682</v>
      </c>
      <c r="B657" t="s">
        <v>29</v>
      </c>
      <c r="C657" s="1">
        <v>45115</v>
      </c>
      <c r="D657" s="1">
        <v>45116</v>
      </c>
      <c r="E657" s="1">
        <f>SUM(Table1[[#This Row],[Delivery_Date]]-Table1[[#This Row],[Order_Date]])</f>
        <v>1</v>
      </c>
      <c r="F657" t="s">
        <v>24</v>
      </c>
      <c r="G657" t="s">
        <v>18</v>
      </c>
      <c r="H657">
        <v>1831</v>
      </c>
      <c r="I657" s="4">
        <v>52.24</v>
      </c>
      <c r="J657" s="4">
        <v>50.44</v>
      </c>
      <c r="K657" s="4">
        <f>Table1[[#This Row],[Quantity]]*Table1[[#This Row],[Negotiated_Price]]</f>
        <v>92355.64</v>
      </c>
      <c r="L657" s="4">
        <f>Table1[[#This Row],[Quantity]]*Table1[[#This Row],[Unit_Price]]</f>
        <v>95651.44</v>
      </c>
      <c r="M657" s="4">
        <f>Table1[[#This Row],[Unit_Price]]-Table1[[#This Row],[Negotiated_Price]]</f>
        <v>1.8000000000000043</v>
      </c>
      <c r="N657" s="3">
        <f>(Table1[[#This Row],[Unit_Price]]-Table1[[#This Row],[Negotiated_Price]])/Table1[[#This Row],[Unit_Price]]</f>
        <v>3.4456355283307892E-2</v>
      </c>
      <c r="O657">
        <v>60</v>
      </c>
      <c r="P657" t="s">
        <v>15</v>
      </c>
      <c r="Q657">
        <f>IF(Table1[[#This Row],[Compliance]]="Yes", 1, 0)</f>
        <v>1</v>
      </c>
    </row>
    <row r="658" spans="1:17" x14ac:dyDescent="0.35">
      <c r="A658" t="s">
        <v>683</v>
      </c>
      <c r="B658" t="s">
        <v>23</v>
      </c>
      <c r="C658" s="1">
        <v>44644</v>
      </c>
      <c r="D658" s="1">
        <v>44658</v>
      </c>
      <c r="E658" s="1">
        <f>SUM(Table1[[#This Row],[Delivery_Date]]-Table1[[#This Row],[Order_Date]])</f>
        <v>14</v>
      </c>
      <c r="F658" t="s">
        <v>13</v>
      </c>
      <c r="G658" t="s">
        <v>35</v>
      </c>
      <c r="H658">
        <v>1910</v>
      </c>
      <c r="I658" s="4">
        <v>77.150000000000006</v>
      </c>
      <c r="J658" s="4">
        <v>68.489999999999995</v>
      </c>
      <c r="K658" s="4">
        <f>Table1[[#This Row],[Quantity]]*Table1[[#This Row],[Negotiated_Price]]</f>
        <v>130815.9</v>
      </c>
      <c r="L658" s="4">
        <f>Table1[[#This Row],[Quantity]]*Table1[[#This Row],[Unit_Price]]</f>
        <v>147356.5</v>
      </c>
      <c r="M658" s="4">
        <f>Table1[[#This Row],[Unit_Price]]-Table1[[#This Row],[Negotiated_Price]]</f>
        <v>8.6600000000000108</v>
      </c>
      <c r="N658" s="3">
        <f>(Table1[[#This Row],[Unit_Price]]-Table1[[#This Row],[Negotiated_Price]])/Table1[[#This Row],[Unit_Price]]</f>
        <v>0.11224886584575515</v>
      </c>
      <c r="O658">
        <v>170</v>
      </c>
      <c r="P658" t="s">
        <v>15</v>
      </c>
      <c r="Q658">
        <f>IF(Table1[[#This Row],[Compliance]]="Yes", 1, 0)</f>
        <v>1</v>
      </c>
    </row>
    <row r="659" spans="1:17" x14ac:dyDescent="0.35">
      <c r="A659" t="s">
        <v>684</v>
      </c>
      <c r="B659" t="s">
        <v>20</v>
      </c>
      <c r="C659" s="1">
        <v>44703</v>
      </c>
      <c r="D659" s="1">
        <v>44712</v>
      </c>
      <c r="E659" s="1">
        <f>SUM(Table1[[#This Row],[Delivery_Date]]-Table1[[#This Row],[Order_Date]])</f>
        <v>9</v>
      </c>
      <c r="F659" t="s">
        <v>39</v>
      </c>
      <c r="G659" t="s">
        <v>33</v>
      </c>
      <c r="H659">
        <v>1173</v>
      </c>
      <c r="I659" s="4">
        <v>32.119999999999997</v>
      </c>
      <c r="J659" s="4">
        <v>29.18</v>
      </c>
      <c r="K659" s="4">
        <f>Table1[[#This Row],[Quantity]]*Table1[[#This Row],[Negotiated_Price]]</f>
        <v>34228.14</v>
      </c>
      <c r="L659" s="4">
        <f>Table1[[#This Row],[Quantity]]*Table1[[#This Row],[Unit_Price]]</f>
        <v>37676.759999999995</v>
      </c>
      <c r="M659" s="4">
        <f>Table1[[#This Row],[Unit_Price]]-Table1[[#This Row],[Negotiated_Price]]</f>
        <v>2.9399999999999977</v>
      </c>
      <c r="N659" s="3">
        <f>(Table1[[#This Row],[Unit_Price]]-Table1[[#This Row],[Negotiated_Price]])/Table1[[#This Row],[Unit_Price]]</f>
        <v>9.1531755915317495E-2</v>
      </c>
      <c r="P659" t="s">
        <v>15</v>
      </c>
      <c r="Q659">
        <f>IF(Table1[[#This Row],[Compliance]]="Yes", 1, 0)</f>
        <v>1</v>
      </c>
    </row>
    <row r="660" spans="1:17" x14ac:dyDescent="0.35">
      <c r="A660" t="s">
        <v>685</v>
      </c>
      <c r="B660" t="s">
        <v>29</v>
      </c>
      <c r="C660" s="1">
        <v>44716</v>
      </c>
      <c r="D660" s="1">
        <v>44729</v>
      </c>
      <c r="E660" s="1">
        <f>SUM(Table1[[#This Row],[Delivery_Date]]-Table1[[#This Row],[Order_Date]])</f>
        <v>13</v>
      </c>
      <c r="F660" t="s">
        <v>24</v>
      </c>
      <c r="G660" t="s">
        <v>33</v>
      </c>
      <c r="H660">
        <v>851</v>
      </c>
      <c r="I660" s="4">
        <v>20.440000000000001</v>
      </c>
      <c r="J660" s="4">
        <v>19.22</v>
      </c>
      <c r="K660" s="4">
        <f>Table1[[#This Row],[Quantity]]*Table1[[#This Row],[Negotiated_Price]]</f>
        <v>16356.22</v>
      </c>
      <c r="L660" s="4">
        <f>Table1[[#This Row],[Quantity]]*Table1[[#This Row],[Unit_Price]]</f>
        <v>17394.440000000002</v>
      </c>
      <c r="M660" s="4">
        <f>Table1[[#This Row],[Unit_Price]]-Table1[[#This Row],[Negotiated_Price]]</f>
        <v>1.2200000000000024</v>
      </c>
      <c r="N660" s="3">
        <f>(Table1[[#This Row],[Unit_Price]]-Table1[[#This Row],[Negotiated_Price]])/Table1[[#This Row],[Unit_Price]]</f>
        <v>5.9686888454011856E-2</v>
      </c>
      <c r="O660">
        <v>22</v>
      </c>
      <c r="P660" t="s">
        <v>15</v>
      </c>
      <c r="Q660">
        <f>IF(Table1[[#This Row],[Compliance]]="Yes", 1, 0)</f>
        <v>1</v>
      </c>
    </row>
    <row r="661" spans="1:17" x14ac:dyDescent="0.35">
      <c r="A661" t="s">
        <v>686</v>
      </c>
      <c r="B661" t="s">
        <v>29</v>
      </c>
      <c r="C661" s="1">
        <v>44798</v>
      </c>
      <c r="D661" s="1">
        <v>44811</v>
      </c>
      <c r="E661" s="1">
        <f>SUM(Table1[[#This Row],[Delivery_Date]]-Table1[[#This Row],[Order_Date]])</f>
        <v>13</v>
      </c>
      <c r="F661" t="s">
        <v>21</v>
      </c>
      <c r="G661" t="s">
        <v>14</v>
      </c>
      <c r="H661">
        <v>1253</v>
      </c>
      <c r="I661" s="4">
        <v>43.38</v>
      </c>
      <c r="J661" s="4">
        <v>38.01</v>
      </c>
      <c r="K661" s="4">
        <f>Table1[[#This Row],[Quantity]]*Table1[[#This Row],[Negotiated_Price]]</f>
        <v>47626.53</v>
      </c>
      <c r="L661" s="4">
        <f>Table1[[#This Row],[Quantity]]*Table1[[#This Row],[Unit_Price]]</f>
        <v>54355.140000000007</v>
      </c>
      <c r="M661" s="4">
        <f>Table1[[#This Row],[Unit_Price]]-Table1[[#This Row],[Negotiated_Price]]</f>
        <v>5.3700000000000045</v>
      </c>
      <c r="N661" s="3">
        <f>(Table1[[#This Row],[Unit_Price]]-Table1[[#This Row],[Negotiated_Price]])/Table1[[#This Row],[Unit_Price]]</f>
        <v>0.12378976486860314</v>
      </c>
      <c r="O661">
        <v>34</v>
      </c>
      <c r="P661" t="s">
        <v>15</v>
      </c>
      <c r="Q661">
        <f>IF(Table1[[#This Row],[Compliance]]="Yes", 1, 0)</f>
        <v>1</v>
      </c>
    </row>
    <row r="662" spans="1:17" x14ac:dyDescent="0.35">
      <c r="A662" t="s">
        <v>687</v>
      </c>
      <c r="B662" t="s">
        <v>12</v>
      </c>
      <c r="C662" s="1">
        <v>44954</v>
      </c>
      <c r="D662" s="1">
        <v>44972</v>
      </c>
      <c r="E662" s="1">
        <f>SUM(Table1[[#This Row],[Delivery_Date]]-Table1[[#This Row],[Order_Date]])</f>
        <v>18</v>
      </c>
      <c r="F662" t="s">
        <v>39</v>
      </c>
      <c r="G662" t="s">
        <v>18</v>
      </c>
      <c r="H662">
        <v>1296</v>
      </c>
      <c r="I662" s="4">
        <v>38</v>
      </c>
      <c r="J662" s="4">
        <v>33.42</v>
      </c>
      <c r="K662" s="4">
        <f>Table1[[#This Row],[Quantity]]*Table1[[#This Row],[Negotiated_Price]]</f>
        <v>43312.32</v>
      </c>
      <c r="L662" s="4">
        <f>Table1[[#This Row],[Quantity]]*Table1[[#This Row],[Unit_Price]]</f>
        <v>49248</v>
      </c>
      <c r="M662" s="4">
        <f>Table1[[#This Row],[Unit_Price]]-Table1[[#This Row],[Negotiated_Price]]</f>
        <v>4.5799999999999983</v>
      </c>
      <c r="N662" s="3">
        <f>(Table1[[#This Row],[Unit_Price]]-Table1[[#This Row],[Negotiated_Price]])/Table1[[#This Row],[Unit_Price]]</f>
        <v>0.12052631578947363</v>
      </c>
      <c r="O662">
        <v>33</v>
      </c>
      <c r="P662" t="s">
        <v>15</v>
      </c>
      <c r="Q662">
        <f>IF(Table1[[#This Row],[Compliance]]="Yes", 1, 0)</f>
        <v>1</v>
      </c>
    </row>
    <row r="663" spans="1:17" x14ac:dyDescent="0.35">
      <c r="A663" t="s">
        <v>688</v>
      </c>
      <c r="B663" t="s">
        <v>23</v>
      </c>
      <c r="C663" s="1">
        <v>45272</v>
      </c>
      <c r="D663" s="1">
        <v>45290</v>
      </c>
      <c r="E663" s="1">
        <f>SUM(Table1[[#This Row],[Delivery_Date]]-Table1[[#This Row],[Order_Date]])</f>
        <v>18</v>
      </c>
      <c r="F663" t="s">
        <v>26</v>
      </c>
      <c r="G663" t="s">
        <v>18</v>
      </c>
      <c r="H663">
        <v>1979</v>
      </c>
      <c r="I663" s="4">
        <v>40.880000000000003</v>
      </c>
      <c r="J663" s="4">
        <v>39.46</v>
      </c>
      <c r="K663" s="4">
        <f>Table1[[#This Row],[Quantity]]*Table1[[#This Row],[Negotiated_Price]]</f>
        <v>78091.34</v>
      </c>
      <c r="L663" s="4">
        <f>Table1[[#This Row],[Quantity]]*Table1[[#This Row],[Unit_Price]]</f>
        <v>80901.52</v>
      </c>
      <c r="M663" s="4">
        <f>Table1[[#This Row],[Unit_Price]]-Table1[[#This Row],[Negotiated_Price]]</f>
        <v>1.4200000000000017</v>
      </c>
      <c r="N663" s="3">
        <f>(Table1[[#This Row],[Unit_Price]]-Table1[[#This Row],[Negotiated_Price]])/Table1[[#This Row],[Unit_Price]]</f>
        <v>3.4735812133072447E-2</v>
      </c>
      <c r="O663">
        <v>221</v>
      </c>
      <c r="P663" t="s">
        <v>15</v>
      </c>
      <c r="Q663">
        <f>IF(Table1[[#This Row],[Compliance]]="Yes", 1, 0)</f>
        <v>1</v>
      </c>
    </row>
    <row r="664" spans="1:17" x14ac:dyDescent="0.35">
      <c r="A664" t="s">
        <v>689</v>
      </c>
      <c r="B664" t="s">
        <v>20</v>
      </c>
      <c r="C664" s="1">
        <v>44718</v>
      </c>
      <c r="D664" s="1">
        <v>44731</v>
      </c>
      <c r="E664" s="1">
        <f>SUM(Table1[[#This Row],[Delivery_Date]]-Table1[[#This Row],[Order_Date]])</f>
        <v>13</v>
      </c>
      <c r="F664" t="s">
        <v>13</v>
      </c>
      <c r="G664" t="s">
        <v>18</v>
      </c>
      <c r="H664">
        <v>811</v>
      </c>
      <c r="I664" s="4">
        <v>31.8</v>
      </c>
      <c r="J664" s="4">
        <v>30.33</v>
      </c>
      <c r="K664" s="4">
        <f>Table1[[#This Row],[Quantity]]*Table1[[#This Row],[Negotiated_Price]]</f>
        <v>24597.629999999997</v>
      </c>
      <c r="L664" s="4">
        <f>Table1[[#This Row],[Quantity]]*Table1[[#This Row],[Unit_Price]]</f>
        <v>25789.8</v>
      </c>
      <c r="M664" s="4">
        <f>Table1[[#This Row],[Unit_Price]]-Table1[[#This Row],[Negotiated_Price]]</f>
        <v>1.4700000000000024</v>
      </c>
      <c r="N664" s="3">
        <f>(Table1[[#This Row],[Unit_Price]]-Table1[[#This Row],[Negotiated_Price]])/Table1[[#This Row],[Unit_Price]]</f>
        <v>4.6226415094339696E-2</v>
      </c>
      <c r="O664">
        <v>58</v>
      </c>
      <c r="P664" t="s">
        <v>15</v>
      </c>
      <c r="Q664">
        <f>IF(Table1[[#This Row],[Compliance]]="Yes", 1, 0)</f>
        <v>1</v>
      </c>
    </row>
    <row r="665" spans="1:17" x14ac:dyDescent="0.35">
      <c r="A665" t="s">
        <v>690</v>
      </c>
      <c r="B665" t="s">
        <v>12</v>
      </c>
      <c r="C665" s="1">
        <v>45285</v>
      </c>
      <c r="D665" s="1">
        <v>45303</v>
      </c>
      <c r="E665" s="1">
        <f>SUM(Table1[[#This Row],[Delivery_Date]]-Table1[[#This Row],[Order_Date]])</f>
        <v>18</v>
      </c>
      <c r="F665" t="s">
        <v>39</v>
      </c>
      <c r="G665" t="s">
        <v>18</v>
      </c>
      <c r="H665">
        <v>1732</v>
      </c>
      <c r="I665" s="4">
        <v>15.37</v>
      </c>
      <c r="J665" s="4">
        <v>14.7</v>
      </c>
      <c r="K665" s="4">
        <f>Table1[[#This Row],[Quantity]]*Table1[[#This Row],[Negotiated_Price]]</f>
        <v>25460.399999999998</v>
      </c>
      <c r="L665" s="4">
        <f>Table1[[#This Row],[Quantity]]*Table1[[#This Row],[Unit_Price]]</f>
        <v>26620.84</v>
      </c>
      <c r="M665" s="4">
        <f>Table1[[#This Row],[Unit_Price]]-Table1[[#This Row],[Negotiated_Price]]</f>
        <v>0.66999999999999993</v>
      </c>
      <c r="N665" s="3">
        <f>(Table1[[#This Row],[Unit_Price]]-Table1[[#This Row],[Negotiated_Price]])/Table1[[#This Row],[Unit_Price]]</f>
        <v>4.3591411841249185E-2</v>
      </c>
      <c r="O665">
        <v>38</v>
      </c>
      <c r="P665" t="s">
        <v>15</v>
      </c>
      <c r="Q665">
        <f>IF(Table1[[#This Row],[Compliance]]="Yes", 1, 0)</f>
        <v>1</v>
      </c>
    </row>
    <row r="666" spans="1:17" x14ac:dyDescent="0.35">
      <c r="A666" t="s">
        <v>691</v>
      </c>
      <c r="B666" t="s">
        <v>23</v>
      </c>
      <c r="C666" s="1">
        <v>44781</v>
      </c>
      <c r="D666" s="1">
        <v>44801</v>
      </c>
      <c r="E666" s="1">
        <f>SUM(Table1[[#This Row],[Delivery_Date]]-Table1[[#This Row],[Order_Date]])</f>
        <v>20</v>
      </c>
      <c r="F666" t="s">
        <v>24</v>
      </c>
      <c r="G666" t="s">
        <v>18</v>
      </c>
      <c r="H666">
        <v>491</v>
      </c>
      <c r="I666" s="4">
        <v>12.01</v>
      </c>
      <c r="J666" s="4">
        <v>11.67</v>
      </c>
      <c r="K666" s="4">
        <f>Table1[[#This Row],[Quantity]]*Table1[[#This Row],[Negotiated_Price]]</f>
        <v>5729.97</v>
      </c>
      <c r="L666" s="4">
        <f>Table1[[#This Row],[Quantity]]*Table1[[#This Row],[Unit_Price]]</f>
        <v>5896.91</v>
      </c>
      <c r="M666" s="4">
        <f>Table1[[#This Row],[Unit_Price]]-Table1[[#This Row],[Negotiated_Price]]</f>
        <v>0.33999999999999986</v>
      </c>
      <c r="N666" s="3">
        <f>(Table1[[#This Row],[Unit_Price]]-Table1[[#This Row],[Negotiated_Price]])/Table1[[#This Row],[Unit_Price]]</f>
        <v>2.8309741881765185E-2</v>
      </c>
      <c r="O666">
        <v>47</v>
      </c>
      <c r="P666" t="s">
        <v>15</v>
      </c>
      <c r="Q666">
        <f>IF(Table1[[#This Row],[Compliance]]="Yes", 1, 0)</f>
        <v>1</v>
      </c>
    </row>
    <row r="667" spans="1:17" x14ac:dyDescent="0.35">
      <c r="A667" t="s">
        <v>692</v>
      </c>
      <c r="B667" t="s">
        <v>20</v>
      </c>
      <c r="C667" s="1">
        <v>44627</v>
      </c>
      <c r="D667" s="1">
        <v>44631</v>
      </c>
      <c r="E667" s="1">
        <f>SUM(Table1[[#This Row],[Delivery_Date]]-Table1[[#This Row],[Order_Date]])</f>
        <v>4</v>
      </c>
      <c r="F667" t="s">
        <v>24</v>
      </c>
      <c r="G667" t="s">
        <v>14</v>
      </c>
      <c r="H667">
        <v>1681</v>
      </c>
      <c r="I667" s="4">
        <v>99.88</v>
      </c>
      <c r="J667" s="4">
        <v>96.38</v>
      </c>
      <c r="K667" s="4">
        <f>Table1[[#This Row],[Quantity]]*Table1[[#This Row],[Negotiated_Price]]</f>
        <v>162014.78</v>
      </c>
      <c r="L667" s="4">
        <f>Table1[[#This Row],[Quantity]]*Table1[[#This Row],[Unit_Price]]</f>
        <v>167898.28</v>
      </c>
      <c r="M667" s="4">
        <f>Table1[[#This Row],[Unit_Price]]-Table1[[#This Row],[Negotiated_Price]]</f>
        <v>3.5</v>
      </c>
      <c r="N667" s="3">
        <f>(Table1[[#This Row],[Unit_Price]]-Table1[[#This Row],[Negotiated_Price]])/Table1[[#This Row],[Unit_Price]]</f>
        <v>3.5042050460552664E-2</v>
      </c>
      <c r="O667">
        <v>90</v>
      </c>
      <c r="P667" t="s">
        <v>15</v>
      </c>
      <c r="Q667">
        <f>IF(Table1[[#This Row],[Compliance]]="Yes", 1, 0)</f>
        <v>1</v>
      </c>
    </row>
    <row r="668" spans="1:17" x14ac:dyDescent="0.35">
      <c r="A668" t="s">
        <v>693</v>
      </c>
      <c r="B668" t="s">
        <v>12</v>
      </c>
      <c r="C668" s="1">
        <v>44986</v>
      </c>
      <c r="D668" s="1">
        <v>44990</v>
      </c>
      <c r="E668" s="1">
        <f>SUM(Table1[[#This Row],[Delivery_Date]]-Table1[[#This Row],[Order_Date]])</f>
        <v>4</v>
      </c>
      <c r="F668" t="s">
        <v>26</v>
      </c>
      <c r="G668" t="s">
        <v>33</v>
      </c>
      <c r="H668">
        <v>818</v>
      </c>
      <c r="I668" s="4">
        <v>51.89</v>
      </c>
      <c r="J668" s="4">
        <v>47.85</v>
      </c>
      <c r="K668" s="4">
        <f>Table1[[#This Row],[Quantity]]*Table1[[#This Row],[Negotiated_Price]]</f>
        <v>39141.300000000003</v>
      </c>
      <c r="L668" s="4">
        <f>Table1[[#This Row],[Quantity]]*Table1[[#This Row],[Unit_Price]]</f>
        <v>42446.020000000004</v>
      </c>
      <c r="M668" s="4">
        <f>Table1[[#This Row],[Unit_Price]]-Table1[[#This Row],[Negotiated_Price]]</f>
        <v>4.0399999999999991</v>
      </c>
      <c r="N668" s="3">
        <f>(Table1[[#This Row],[Unit_Price]]-Table1[[#This Row],[Negotiated_Price]])/Table1[[#This Row],[Unit_Price]]</f>
        <v>7.7857005203314691E-2</v>
      </c>
      <c r="O668">
        <v>12</v>
      </c>
      <c r="P668" t="s">
        <v>15</v>
      </c>
      <c r="Q668">
        <f>IF(Table1[[#This Row],[Compliance]]="Yes", 1, 0)</f>
        <v>1</v>
      </c>
    </row>
    <row r="669" spans="1:17" x14ac:dyDescent="0.35">
      <c r="A669" t="s">
        <v>694</v>
      </c>
      <c r="B669" t="s">
        <v>23</v>
      </c>
      <c r="C669" s="1">
        <v>44979</v>
      </c>
      <c r="D669" s="1">
        <v>44990</v>
      </c>
      <c r="E669" s="1">
        <f>SUM(Table1[[#This Row],[Delivery_Date]]-Table1[[#This Row],[Order_Date]])</f>
        <v>11</v>
      </c>
      <c r="F669" t="s">
        <v>13</v>
      </c>
      <c r="G669" t="s">
        <v>18</v>
      </c>
      <c r="H669">
        <v>1065</v>
      </c>
      <c r="I669" s="4">
        <v>47.49</v>
      </c>
      <c r="J669" s="4">
        <v>41.42</v>
      </c>
      <c r="K669" s="4">
        <f>Table1[[#This Row],[Quantity]]*Table1[[#This Row],[Negotiated_Price]]</f>
        <v>44112.3</v>
      </c>
      <c r="L669" s="4">
        <f>Table1[[#This Row],[Quantity]]*Table1[[#This Row],[Unit_Price]]</f>
        <v>50576.85</v>
      </c>
      <c r="M669" s="4">
        <f>Table1[[#This Row],[Unit_Price]]-Table1[[#This Row],[Negotiated_Price]]</f>
        <v>6.07</v>
      </c>
      <c r="N669" s="3">
        <f>(Table1[[#This Row],[Unit_Price]]-Table1[[#This Row],[Negotiated_Price]])/Table1[[#This Row],[Unit_Price]]</f>
        <v>0.12781638239629395</v>
      </c>
      <c r="O669">
        <v>113</v>
      </c>
      <c r="P669" t="s">
        <v>15</v>
      </c>
      <c r="Q669">
        <f>IF(Table1[[#This Row],[Compliance]]="Yes", 1, 0)</f>
        <v>1</v>
      </c>
    </row>
    <row r="670" spans="1:17" x14ac:dyDescent="0.35">
      <c r="A670" t="s">
        <v>695</v>
      </c>
      <c r="B670" t="s">
        <v>20</v>
      </c>
      <c r="C670" s="1">
        <v>44900</v>
      </c>
      <c r="D670" s="1">
        <v>44912</v>
      </c>
      <c r="E670" s="1">
        <f>SUM(Table1[[#This Row],[Delivery_Date]]-Table1[[#This Row],[Order_Date]])</f>
        <v>12</v>
      </c>
      <c r="F670" t="s">
        <v>24</v>
      </c>
      <c r="G670" t="s">
        <v>18</v>
      </c>
      <c r="H670">
        <v>1398</v>
      </c>
      <c r="I670" s="4">
        <v>75.08</v>
      </c>
      <c r="J670" s="4">
        <v>67.09</v>
      </c>
      <c r="K670" s="4">
        <f>Table1[[#This Row],[Quantity]]*Table1[[#This Row],[Negotiated_Price]]</f>
        <v>93791.82</v>
      </c>
      <c r="L670" s="4">
        <f>Table1[[#This Row],[Quantity]]*Table1[[#This Row],[Unit_Price]]</f>
        <v>104961.84</v>
      </c>
      <c r="M670" s="4">
        <f>Table1[[#This Row],[Unit_Price]]-Table1[[#This Row],[Negotiated_Price]]</f>
        <v>7.9899999999999949</v>
      </c>
      <c r="N670" s="3">
        <f>(Table1[[#This Row],[Unit_Price]]-Table1[[#This Row],[Negotiated_Price]])/Table1[[#This Row],[Unit_Price]]</f>
        <v>0.10641981885988272</v>
      </c>
      <c r="O670">
        <v>57</v>
      </c>
      <c r="P670" t="s">
        <v>15</v>
      </c>
      <c r="Q670">
        <f>IF(Table1[[#This Row],[Compliance]]="Yes", 1, 0)</f>
        <v>1</v>
      </c>
    </row>
    <row r="671" spans="1:17" x14ac:dyDescent="0.35">
      <c r="A671" t="s">
        <v>696</v>
      </c>
      <c r="B671" t="s">
        <v>23</v>
      </c>
      <c r="C671" s="1">
        <v>45117</v>
      </c>
      <c r="D671" s="1">
        <v>45124</v>
      </c>
      <c r="E671" s="1">
        <f>SUM(Table1[[#This Row],[Delivery_Date]]-Table1[[#This Row],[Order_Date]])</f>
        <v>7</v>
      </c>
      <c r="F671" t="s">
        <v>24</v>
      </c>
      <c r="G671" t="s">
        <v>18</v>
      </c>
      <c r="H671">
        <v>565</v>
      </c>
      <c r="I671" s="4">
        <v>32.31</v>
      </c>
      <c r="J671" s="4">
        <v>29.76</v>
      </c>
      <c r="K671" s="4">
        <f>Table1[[#This Row],[Quantity]]*Table1[[#This Row],[Negotiated_Price]]</f>
        <v>16814.400000000001</v>
      </c>
      <c r="L671" s="4">
        <f>Table1[[#This Row],[Quantity]]*Table1[[#This Row],[Unit_Price]]</f>
        <v>18255.150000000001</v>
      </c>
      <c r="M671" s="4">
        <f>Table1[[#This Row],[Unit_Price]]-Table1[[#This Row],[Negotiated_Price]]</f>
        <v>2.5500000000000007</v>
      </c>
      <c r="N671" s="3">
        <f>(Table1[[#This Row],[Unit_Price]]-Table1[[#This Row],[Negotiated_Price]])/Table1[[#This Row],[Unit_Price]]</f>
        <v>7.892293407613743E-2</v>
      </c>
      <c r="O671">
        <v>60</v>
      </c>
      <c r="P671" t="s">
        <v>15</v>
      </c>
      <c r="Q671">
        <f>IF(Table1[[#This Row],[Compliance]]="Yes", 1, 0)</f>
        <v>1</v>
      </c>
    </row>
    <row r="672" spans="1:17" x14ac:dyDescent="0.35">
      <c r="A672" t="s">
        <v>697</v>
      </c>
      <c r="B672" t="s">
        <v>29</v>
      </c>
      <c r="C672" s="1">
        <v>45039</v>
      </c>
      <c r="D672" s="1">
        <v>45052</v>
      </c>
      <c r="E672" s="1">
        <f>SUM(Table1[[#This Row],[Delivery_Date]]-Table1[[#This Row],[Order_Date]])</f>
        <v>13</v>
      </c>
      <c r="F672" t="s">
        <v>24</v>
      </c>
      <c r="G672" t="s">
        <v>35</v>
      </c>
      <c r="H672">
        <v>1089</v>
      </c>
      <c r="I672" s="4">
        <v>102.66</v>
      </c>
      <c r="J672" s="4">
        <v>89.21</v>
      </c>
      <c r="K672" s="4">
        <f>Table1[[#This Row],[Quantity]]*Table1[[#This Row],[Negotiated_Price]]</f>
        <v>97149.689999999988</v>
      </c>
      <c r="L672" s="4">
        <f>Table1[[#This Row],[Quantity]]*Table1[[#This Row],[Unit_Price]]</f>
        <v>111796.73999999999</v>
      </c>
      <c r="M672" s="4">
        <f>Table1[[#This Row],[Unit_Price]]-Table1[[#This Row],[Negotiated_Price]]</f>
        <v>13.450000000000003</v>
      </c>
      <c r="N672" s="3">
        <f>(Table1[[#This Row],[Unit_Price]]-Table1[[#This Row],[Negotiated_Price]])/Table1[[#This Row],[Unit_Price]]</f>
        <v>0.13101500097408925</v>
      </c>
      <c r="O672">
        <v>33</v>
      </c>
      <c r="P672" t="s">
        <v>15</v>
      </c>
      <c r="Q672">
        <f>IF(Table1[[#This Row],[Compliance]]="Yes", 1, 0)</f>
        <v>1</v>
      </c>
    </row>
    <row r="673" spans="1:17" x14ac:dyDescent="0.35">
      <c r="A673" t="s">
        <v>698</v>
      </c>
      <c r="B673" t="s">
        <v>17</v>
      </c>
      <c r="C673" s="1">
        <v>44987</v>
      </c>
      <c r="D673" s="1">
        <v>44989</v>
      </c>
      <c r="E673" s="1">
        <f>SUM(Table1[[#This Row],[Delivery_Date]]-Table1[[#This Row],[Order_Date]])</f>
        <v>2</v>
      </c>
      <c r="F673" t="s">
        <v>39</v>
      </c>
      <c r="G673" t="s">
        <v>18</v>
      </c>
      <c r="H673">
        <v>841</v>
      </c>
      <c r="I673" s="4">
        <v>86.43</v>
      </c>
      <c r="J673" s="4">
        <v>83.77</v>
      </c>
      <c r="K673" s="4">
        <f>Table1[[#This Row],[Quantity]]*Table1[[#This Row],[Negotiated_Price]]</f>
        <v>70450.569999999992</v>
      </c>
      <c r="L673" s="4">
        <f>Table1[[#This Row],[Quantity]]*Table1[[#This Row],[Unit_Price]]</f>
        <v>72687.63</v>
      </c>
      <c r="M673" s="4">
        <f>Table1[[#This Row],[Unit_Price]]-Table1[[#This Row],[Negotiated_Price]]</f>
        <v>2.6600000000000108</v>
      </c>
      <c r="N673" s="3">
        <f>(Table1[[#This Row],[Unit_Price]]-Table1[[#This Row],[Negotiated_Price]])/Table1[[#This Row],[Unit_Price]]</f>
        <v>3.0776350804119064E-2</v>
      </c>
      <c r="O673">
        <v>125</v>
      </c>
      <c r="P673" t="s">
        <v>27</v>
      </c>
      <c r="Q673">
        <f>IF(Table1[[#This Row],[Compliance]]="Yes", 1, 0)</f>
        <v>0</v>
      </c>
    </row>
    <row r="674" spans="1:17" x14ac:dyDescent="0.35">
      <c r="A674" t="s">
        <v>699</v>
      </c>
      <c r="B674" t="s">
        <v>17</v>
      </c>
      <c r="C674" s="1">
        <v>44625</v>
      </c>
      <c r="D674" s="1">
        <v>44636</v>
      </c>
      <c r="E674" s="1">
        <f>SUM(Table1[[#This Row],[Delivery_Date]]-Table1[[#This Row],[Order_Date]])</f>
        <v>11</v>
      </c>
      <c r="F674" t="s">
        <v>39</v>
      </c>
      <c r="G674" t="s">
        <v>18</v>
      </c>
      <c r="H674">
        <v>385</v>
      </c>
      <c r="I674" s="4">
        <v>18.23</v>
      </c>
      <c r="J674" s="4">
        <v>17.739999999999998</v>
      </c>
      <c r="K674" s="4">
        <f>Table1[[#This Row],[Quantity]]*Table1[[#This Row],[Negotiated_Price]]</f>
        <v>6829.9</v>
      </c>
      <c r="L674" s="4">
        <f>Table1[[#This Row],[Quantity]]*Table1[[#This Row],[Unit_Price]]</f>
        <v>7018.55</v>
      </c>
      <c r="M674" s="4">
        <f>Table1[[#This Row],[Unit_Price]]-Table1[[#This Row],[Negotiated_Price]]</f>
        <v>0.49000000000000199</v>
      </c>
      <c r="N674" s="3">
        <f>(Table1[[#This Row],[Unit_Price]]-Table1[[#This Row],[Negotiated_Price]])/Table1[[#This Row],[Unit_Price]]</f>
        <v>2.6878771256171254E-2</v>
      </c>
      <c r="P674" t="s">
        <v>15</v>
      </c>
      <c r="Q674">
        <f>IF(Table1[[#This Row],[Compliance]]="Yes", 1, 0)</f>
        <v>1</v>
      </c>
    </row>
    <row r="675" spans="1:17" x14ac:dyDescent="0.35">
      <c r="A675" t="s">
        <v>700</v>
      </c>
      <c r="B675" t="s">
        <v>29</v>
      </c>
      <c r="C675" s="1">
        <v>44773</v>
      </c>
      <c r="D675" s="1">
        <v>44790</v>
      </c>
      <c r="E675" s="1">
        <f>SUM(Table1[[#This Row],[Delivery_Date]]-Table1[[#This Row],[Order_Date]])</f>
        <v>17</v>
      </c>
      <c r="F675" t="s">
        <v>13</v>
      </c>
      <c r="G675" t="s">
        <v>18</v>
      </c>
      <c r="H675">
        <v>1832</v>
      </c>
      <c r="I675" s="4">
        <v>49.01</v>
      </c>
      <c r="J675" s="4">
        <v>41.86</v>
      </c>
      <c r="K675" s="4">
        <f>Table1[[#This Row],[Quantity]]*Table1[[#This Row],[Negotiated_Price]]</f>
        <v>76687.520000000004</v>
      </c>
      <c r="L675" s="4">
        <f>Table1[[#This Row],[Quantity]]*Table1[[#This Row],[Unit_Price]]</f>
        <v>89786.319999999992</v>
      </c>
      <c r="M675" s="4">
        <f>Table1[[#This Row],[Unit_Price]]-Table1[[#This Row],[Negotiated_Price]]</f>
        <v>7.1499999999999986</v>
      </c>
      <c r="N675" s="3">
        <f>(Table1[[#This Row],[Unit_Price]]-Table1[[#This Row],[Negotiated_Price]])/Table1[[#This Row],[Unit_Price]]</f>
        <v>0.14588859416445621</v>
      </c>
      <c r="O675">
        <v>52</v>
      </c>
      <c r="P675" t="s">
        <v>15</v>
      </c>
      <c r="Q675">
        <f>IF(Table1[[#This Row],[Compliance]]="Yes", 1, 0)</f>
        <v>1</v>
      </c>
    </row>
    <row r="676" spans="1:17" x14ac:dyDescent="0.35">
      <c r="A676" t="s">
        <v>701</v>
      </c>
      <c r="B676" t="s">
        <v>23</v>
      </c>
      <c r="C676" s="1">
        <v>44992</v>
      </c>
      <c r="D676" s="1">
        <v>45012</v>
      </c>
      <c r="E676" s="1">
        <f>SUM(Table1[[#This Row],[Delivery_Date]]-Table1[[#This Row],[Order_Date]])</f>
        <v>20</v>
      </c>
      <c r="F676" t="s">
        <v>26</v>
      </c>
      <c r="G676" t="s">
        <v>18</v>
      </c>
      <c r="H676">
        <v>307</v>
      </c>
      <c r="I676" s="4">
        <v>95.36</v>
      </c>
      <c r="J676" s="4">
        <v>83.63</v>
      </c>
      <c r="K676" s="4">
        <f>Table1[[#This Row],[Quantity]]*Table1[[#This Row],[Negotiated_Price]]</f>
        <v>25674.41</v>
      </c>
      <c r="L676" s="4">
        <f>Table1[[#This Row],[Quantity]]*Table1[[#This Row],[Unit_Price]]</f>
        <v>29275.52</v>
      </c>
      <c r="M676" s="4">
        <f>Table1[[#This Row],[Unit_Price]]-Table1[[#This Row],[Negotiated_Price]]</f>
        <v>11.730000000000004</v>
      </c>
      <c r="N676" s="3">
        <f>(Table1[[#This Row],[Unit_Price]]-Table1[[#This Row],[Negotiated_Price]])/Table1[[#This Row],[Unit_Price]]</f>
        <v>0.12300755033557051</v>
      </c>
      <c r="O676">
        <v>29</v>
      </c>
      <c r="P676" t="s">
        <v>15</v>
      </c>
      <c r="Q676">
        <f>IF(Table1[[#This Row],[Compliance]]="Yes", 1, 0)</f>
        <v>1</v>
      </c>
    </row>
    <row r="677" spans="1:17" x14ac:dyDescent="0.35">
      <c r="A677" t="s">
        <v>702</v>
      </c>
      <c r="B677" t="s">
        <v>29</v>
      </c>
      <c r="C677" s="1">
        <v>44960</v>
      </c>
      <c r="D677" s="1">
        <v>44965</v>
      </c>
      <c r="E677" s="1">
        <f>SUM(Table1[[#This Row],[Delivery_Date]]-Table1[[#This Row],[Order_Date]])</f>
        <v>5</v>
      </c>
      <c r="F677" t="s">
        <v>13</v>
      </c>
      <c r="G677" t="s">
        <v>18</v>
      </c>
      <c r="H677">
        <v>546</v>
      </c>
      <c r="I677" s="4">
        <v>101.2</v>
      </c>
      <c r="J677" s="4">
        <v>97.82</v>
      </c>
      <c r="K677" s="4">
        <f>Table1[[#This Row],[Quantity]]*Table1[[#This Row],[Negotiated_Price]]</f>
        <v>53409.719999999994</v>
      </c>
      <c r="L677" s="4">
        <f>Table1[[#This Row],[Quantity]]*Table1[[#This Row],[Unit_Price]]</f>
        <v>55255.200000000004</v>
      </c>
      <c r="M677" s="4">
        <f>Table1[[#This Row],[Unit_Price]]-Table1[[#This Row],[Negotiated_Price]]</f>
        <v>3.3800000000000097</v>
      </c>
      <c r="N677" s="3">
        <f>(Table1[[#This Row],[Unit_Price]]-Table1[[#This Row],[Negotiated_Price]])/Table1[[#This Row],[Unit_Price]]</f>
        <v>3.33992094861661E-2</v>
      </c>
      <c r="O677">
        <v>21</v>
      </c>
      <c r="P677" t="s">
        <v>15</v>
      </c>
      <c r="Q677">
        <f>IF(Table1[[#This Row],[Compliance]]="Yes", 1, 0)</f>
        <v>1</v>
      </c>
    </row>
    <row r="678" spans="1:17" x14ac:dyDescent="0.35">
      <c r="A678" t="s">
        <v>703</v>
      </c>
      <c r="B678" t="s">
        <v>17</v>
      </c>
      <c r="C678" s="1">
        <v>45160</v>
      </c>
      <c r="D678" s="1">
        <v>45180</v>
      </c>
      <c r="E678" s="1">
        <f>SUM(Table1[[#This Row],[Delivery_Date]]-Table1[[#This Row],[Order_Date]])</f>
        <v>20</v>
      </c>
      <c r="F678" t="s">
        <v>26</v>
      </c>
      <c r="G678" t="s">
        <v>18</v>
      </c>
      <c r="H678">
        <v>945</v>
      </c>
      <c r="I678" s="4">
        <v>57.01</v>
      </c>
      <c r="J678" s="4">
        <v>55.14</v>
      </c>
      <c r="K678" s="4">
        <f>Table1[[#This Row],[Quantity]]*Table1[[#This Row],[Negotiated_Price]]</f>
        <v>52107.3</v>
      </c>
      <c r="L678" s="4">
        <f>Table1[[#This Row],[Quantity]]*Table1[[#This Row],[Unit_Price]]</f>
        <v>53874.45</v>
      </c>
      <c r="M678" s="4">
        <f>Table1[[#This Row],[Unit_Price]]-Table1[[#This Row],[Negotiated_Price]]</f>
        <v>1.8699999999999974</v>
      </c>
      <c r="N678" s="3">
        <f>(Table1[[#This Row],[Unit_Price]]-Table1[[#This Row],[Negotiated_Price]])/Table1[[#This Row],[Unit_Price]]</f>
        <v>3.2801262936326916E-2</v>
      </c>
      <c r="O678">
        <v>147</v>
      </c>
      <c r="P678" t="s">
        <v>27</v>
      </c>
      <c r="Q678">
        <f>IF(Table1[[#This Row],[Compliance]]="Yes", 1, 0)</f>
        <v>0</v>
      </c>
    </row>
    <row r="679" spans="1:17" x14ac:dyDescent="0.35">
      <c r="A679" t="s">
        <v>704</v>
      </c>
      <c r="B679" t="s">
        <v>17</v>
      </c>
      <c r="C679" s="1">
        <v>45274</v>
      </c>
      <c r="D679" s="1">
        <v>45287</v>
      </c>
      <c r="E679" s="1">
        <f>SUM(Table1[[#This Row],[Delivery_Date]]-Table1[[#This Row],[Order_Date]])</f>
        <v>13</v>
      </c>
      <c r="F679" t="s">
        <v>21</v>
      </c>
      <c r="G679" t="s">
        <v>35</v>
      </c>
      <c r="H679">
        <v>209</v>
      </c>
      <c r="I679" s="4">
        <v>72.709999999999994</v>
      </c>
      <c r="J679" s="4">
        <v>64.34</v>
      </c>
      <c r="K679" s="4">
        <f>Table1[[#This Row],[Quantity]]*Table1[[#This Row],[Negotiated_Price]]</f>
        <v>13447.060000000001</v>
      </c>
      <c r="L679" s="4">
        <f>Table1[[#This Row],[Quantity]]*Table1[[#This Row],[Unit_Price]]</f>
        <v>15196.39</v>
      </c>
      <c r="M679" s="4">
        <f>Table1[[#This Row],[Unit_Price]]-Table1[[#This Row],[Negotiated_Price]]</f>
        <v>8.3699999999999903</v>
      </c>
      <c r="N679" s="3">
        <f>(Table1[[#This Row],[Unit_Price]]-Table1[[#This Row],[Negotiated_Price]])/Table1[[#This Row],[Unit_Price]]</f>
        <v>0.11511483977444631</v>
      </c>
      <c r="O679">
        <v>39</v>
      </c>
      <c r="P679" t="s">
        <v>15</v>
      </c>
      <c r="Q679">
        <f>IF(Table1[[#This Row],[Compliance]]="Yes", 1, 0)</f>
        <v>1</v>
      </c>
    </row>
    <row r="680" spans="1:17" hidden="1" x14ac:dyDescent="0.35">
      <c r="A680" t="s">
        <v>705</v>
      </c>
      <c r="B680" t="s">
        <v>23</v>
      </c>
      <c r="C680" s="1">
        <v>44582</v>
      </c>
      <c r="E680" s="1">
        <f>SUM(Table1[[#This Row],[Delivery_Date]]-Table1[[#This Row],[Order_Date]])</f>
        <v>-44582</v>
      </c>
      <c r="F680" t="s">
        <v>24</v>
      </c>
      <c r="G680" t="s">
        <v>18</v>
      </c>
      <c r="H680">
        <v>1548</v>
      </c>
      <c r="I680">
        <v>25.03</v>
      </c>
      <c r="J680">
        <v>22.87</v>
      </c>
      <c r="K680">
        <f>Table1[[#This Row],[Quantity]]*Table1[[#This Row],[Negotiated_Price]]</f>
        <v>35402.76</v>
      </c>
      <c r="L680" s="5">
        <f>Table1[[#This Row],[Quantity]]*Table1[[#This Row],[Unit_Price]]</f>
        <v>38746.44</v>
      </c>
      <c r="M680">
        <f>Table1[[#This Row],[Unit_Price]]-Table1[[#This Row],[Negotiated_Price]]</f>
        <v>2.16</v>
      </c>
      <c r="N680" s="2">
        <f>(Table1[[#This Row],[Unit_Price]]-Table1[[#This Row],[Negotiated_Price]])/Table1[[#This Row],[Unit_Price]]</f>
        <v>8.629644426687974E-2</v>
      </c>
      <c r="P680" t="s">
        <v>15</v>
      </c>
      <c r="Q680">
        <f>IF(Table1[[#This Row],[Compliance]]="Yes", 1, 0)</f>
        <v>1</v>
      </c>
    </row>
    <row r="681" spans="1:17" x14ac:dyDescent="0.35">
      <c r="A681" t="s">
        <v>706</v>
      </c>
      <c r="B681" t="s">
        <v>17</v>
      </c>
      <c r="C681" s="1">
        <v>45151</v>
      </c>
      <c r="D681" s="1">
        <v>45161</v>
      </c>
      <c r="E681" s="1">
        <f>SUM(Table1[[#This Row],[Delivery_Date]]-Table1[[#This Row],[Order_Date]])</f>
        <v>10</v>
      </c>
      <c r="F681" t="s">
        <v>26</v>
      </c>
      <c r="G681" t="s">
        <v>18</v>
      </c>
      <c r="H681">
        <v>901</v>
      </c>
      <c r="I681" s="4">
        <v>108.63</v>
      </c>
      <c r="J681" s="4">
        <v>106.3</v>
      </c>
      <c r="K681" s="4">
        <f>Table1[[#This Row],[Quantity]]*Table1[[#This Row],[Negotiated_Price]]</f>
        <v>95776.3</v>
      </c>
      <c r="L681" s="4">
        <f>Table1[[#This Row],[Quantity]]*Table1[[#This Row],[Unit_Price]]</f>
        <v>97875.62999999999</v>
      </c>
      <c r="M681" s="4">
        <f>Table1[[#This Row],[Unit_Price]]-Table1[[#This Row],[Negotiated_Price]]</f>
        <v>2.3299999999999983</v>
      </c>
      <c r="N681" s="3">
        <f>(Table1[[#This Row],[Unit_Price]]-Table1[[#This Row],[Negotiated_Price]])/Table1[[#This Row],[Unit_Price]]</f>
        <v>2.1448955168922014E-2</v>
      </c>
      <c r="O681">
        <v>141</v>
      </c>
      <c r="P681" t="s">
        <v>15</v>
      </c>
      <c r="Q681">
        <f>IF(Table1[[#This Row],[Compliance]]="Yes", 1, 0)</f>
        <v>1</v>
      </c>
    </row>
    <row r="682" spans="1:17" x14ac:dyDescent="0.35">
      <c r="A682" t="s">
        <v>707</v>
      </c>
      <c r="B682" t="s">
        <v>29</v>
      </c>
      <c r="C682" s="1">
        <v>44951</v>
      </c>
      <c r="D682" s="1">
        <v>44968</v>
      </c>
      <c r="E682" s="1">
        <f>SUM(Table1[[#This Row],[Delivery_Date]]-Table1[[#This Row],[Order_Date]])</f>
        <v>17</v>
      </c>
      <c r="F682" t="s">
        <v>24</v>
      </c>
      <c r="G682" t="s">
        <v>18</v>
      </c>
      <c r="H682">
        <v>1737</v>
      </c>
      <c r="I682" s="4">
        <v>32.700000000000003</v>
      </c>
      <c r="J682" s="4">
        <v>31.02</v>
      </c>
      <c r="K682" s="4">
        <f>Table1[[#This Row],[Quantity]]*Table1[[#This Row],[Negotiated_Price]]</f>
        <v>53881.74</v>
      </c>
      <c r="L682" s="4">
        <f>Table1[[#This Row],[Quantity]]*Table1[[#This Row],[Unit_Price]]</f>
        <v>56799.9</v>
      </c>
      <c r="M682" s="4">
        <f>Table1[[#This Row],[Unit_Price]]-Table1[[#This Row],[Negotiated_Price]]</f>
        <v>1.6800000000000033</v>
      </c>
      <c r="N682" s="3">
        <f>(Table1[[#This Row],[Unit_Price]]-Table1[[#This Row],[Negotiated_Price]])/Table1[[#This Row],[Unit_Price]]</f>
        <v>5.1376146788990919E-2</v>
      </c>
      <c r="O682">
        <v>48</v>
      </c>
      <c r="P682" t="s">
        <v>15</v>
      </c>
      <c r="Q682">
        <f>IF(Table1[[#This Row],[Compliance]]="Yes", 1, 0)</f>
        <v>1</v>
      </c>
    </row>
    <row r="683" spans="1:17" x14ac:dyDescent="0.35">
      <c r="A683" t="s">
        <v>708</v>
      </c>
      <c r="B683" t="s">
        <v>23</v>
      </c>
      <c r="C683" s="1">
        <v>45050</v>
      </c>
      <c r="D683" s="1">
        <v>45068</v>
      </c>
      <c r="E683" s="1">
        <f>SUM(Table1[[#This Row],[Delivery_Date]]-Table1[[#This Row],[Order_Date]])</f>
        <v>18</v>
      </c>
      <c r="F683" t="s">
        <v>26</v>
      </c>
      <c r="G683" t="s">
        <v>18</v>
      </c>
      <c r="H683">
        <v>1981</v>
      </c>
      <c r="I683" s="4">
        <v>102.43</v>
      </c>
      <c r="J683" s="4">
        <v>90.99</v>
      </c>
      <c r="K683" s="4">
        <f>Table1[[#This Row],[Quantity]]*Table1[[#This Row],[Negotiated_Price]]</f>
        <v>180251.19</v>
      </c>
      <c r="L683" s="4">
        <f>Table1[[#This Row],[Quantity]]*Table1[[#This Row],[Unit_Price]]</f>
        <v>202913.83000000002</v>
      </c>
      <c r="M683" s="4">
        <f>Table1[[#This Row],[Unit_Price]]-Table1[[#This Row],[Negotiated_Price]]</f>
        <v>11.440000000000012</v>
      </c>
      <c r="N683" s="3">
        <f>(Table1[[#This Row],[Unit_Price]]-Table1[[#This Row],[Negotiated_Price]])/Table1[[#This Row],[Unit_Price]]</f>
        <v>0.11168602948354985</v>
      </c>
      <c r="O683">
        <v>204</v>
      </c>
      <c r="P683" t="s">
        <v>15</v>
      </c>
      <c r="Q683">
        <f>IF(Table1[[#This Row],[Compliance]]="Yes", 1, 0)</f>
        <v>1</v>
      </c>
    </row>
    <row r="684" spans="1:17" x14ac:dyDescent="0.35">
      <c r="A684" t="s">
        <v>709</v>
      </c>
      <c r="B684" t="s">
        <v>29</v>
      </c>
      <c r="C684" s="1">
        <v>44568</v>
      </c>
      <c r="D684" s="1">
        <v>44587</v>
      </c>
      <c r="E684" s="1">
        <f>SUM(Table1[[#This Row],[Delivery_Date]]-Table1[[#This Row],[Order_Date]])</f>
        <v>19</v>
      </c>
      <c r="F684" t="s">
        <v>21</v>
      </c>
      <c r="G684" t="s">
        <v>35</v>
      </c>
      <c r="H684">
        <v>739</v>
      </c>
      <c r="I684" s="4">
        <v>68.47</v>
      </c>
      <c r="J684" s="4">
        <v>66.09</v>
      </c>
      <c r="K684" s="4">
        <f>Table1[[#This Row],[Quantity]]*Table1[[#This Row],[Negotiated_Price]]</f>
        <v>48840.51</v>
      </c>
      <c r="L684" s="4">
        <f>Table1[[#This Row],[Quantity]]*Table1[[#This Row],[Unit_Price]]</f>
        <v>50599.33</v>
      </c>
      <c r="M684" s="4">
        <f>Table1[[#This Row],[Unit_Price]]-Table1[[#This Row],[Negotiated_Price]]</f>
        <v>2.3799999999999955</v>
      </c>
      <c r="N684" s="3">
        <f>(Table1[[#This Row],[Unit_Price]]-Table1[[#This Row],[Negotiated_Price]])/Table1[[#This Row],[Unit_Price]]</f>
        <v>3.4759748795092672E-2</v>
      </c>
      <c r="O684">
        <v>19</v>
      </c>
      <c r="P684" t="s">
        <v>15</v>
      </c>
      <c r="Q684">
        <f>IF(Table1[[#This Row],[Compliance]]="Yes", 1, 0)</f>
        <v>1</v>
      </c>
    </row>
    <row r="685" spans="1:17" x14ac:dyDescent="0.35">
      <c r="A685" t="s">
        <v>710</v>
      </c>
      <c r="B685" t="s">
        <v>23</v>
      </c>
      <c r="C685" s="1">
        <v>44922</v>
      </c>
      <c r="D685" s="1">
        <v>44923</v>
      </c>
      <c r="E685" s="1">
        <f>SUM(Table1[[#This Row],[Delivery_Date]]-Table1[[#This Row],[Order_Date]])</f>
        <v>1</v>
      </c>
      <c r="F685" t="s">
        <v>26</v>
      </c>
      <c r="G685" t="s">
        <v>18</v>
      </c>
      <c r="H685">
        <v>1748</v>
      </c>
      <c r="I685" s="4">
        <v>68.25</v>
      </c>
      <c r="J685" s="4">
        <v>62.84</v>
      </c>
      <c r="K685" s="4">
        <f>Table1[[#This Row],[Quantity]]*Table1[[#This Row],[Negotiated_Price]]</f>
        <v>109844.32</v>
      </c>
      <c r="L685" s="4">
        <f>Table1[[#This Row],[Quantity]]*Table1[[#This Row],[Unit_Price]]</f>
        <v>119301</v>
      </c>
      <c r="M685" s="4">
        <f>Table1[[#This Row],[Unit_Price]]-Table1[[#This Row],[Negotiated_Price]]</f>
        <v>5.4099999999999966</v>
      </c>
      <c r="N685" s="3">
        <f>(Table1[[#This Row],[Unit_Price]]-Table1[[#This Row],[Negotiated_Price]])/Table1[[#This Row],[Unit_Price]]</f>
        <v>7.9267399267399216E-2</v>
      </c>
      <c r="O685">
        <v>171</v>
      </c>
      <c r="P685" t="s">
        <v>15</v>
      </c>
      <c r="Q685">
        <f>IF(Table1[[#This Row],[Compliance]]="Yes", 1, 0)</f>
        <v>1</v>
      </c>
    </row>
    <row r="686" spans="1:17" x14ac:dyDescent="0.35">
      <c r="A686" t="s">
        <v>711</v>
      </c>
      <c r="B686" t="s">
        <v>17</v>
      </c>
      <c r="C686" s="1">
        <v>44867</v>
      </c>
      <c r="D686" s="1">
        <v>44871</v>
      </c>
      <c r="E686" s="1">
        <f>SUM(Table1[[#This Row],[Delivery_Date]]-Table1[[#This Row],[Order_Date]])</f>
        <v>4</v>
      </c>
      <c r="F686" t="s">
        <v>13</v>
      </c>
      <c r="G686" t="s">
        <v>14</v>
      </c>
      <c r="H686">
        <v>429</v>
      </c>
      <c r="I686" s="4">
        <v>58.95</v>
      </c>
      <c r="J686" s="4">
        <v>55.35</v>
      </c>
      <c r="K686" s="4">
        <f>Table1[[#This Row],[Quantity]]*Table1[[#This Row],[Negotiated_Price]]</f>
        <v>23745.15</v>
      </c>
      <c r="L686" s="4">
        <f>Table1[[#This Row],[Quantity]]*Table1[[#This Row],[Unit_Price]]</f>
        <v>25289.550000000003</v>
      </c>
      <c r="M686" s="4">
        <f>Table1[[#This Row],[Unit_Price]]-Table1[[#This Row],[Negotiated_Price]]</f>
        <v>3.6000000000000014</v>
      </c>
      <c r="N686" s="3">
        <f>(Table1[[#This Row],[Unit_Price]]-Table1[[#This Row],[Negotiated_Price]])/Table1[[#This Row],[Unit_Price]]</f>
        <v>6.1068702290076354E-2</v>
      </c>
      <c r="O686">
        <v>59</v>
      </c>
      <c r="P686" t="s">
        <v>27</v>
      </c>
      <c r="Q686">
        <f>IF(Table1[[#This Row],[Compliance]]="Yes", 1, 0)</f>
        <v>0</v>
      </c>
    </row>
    <row r="687" spans="1:17" hidden="1" x14ac:dyDescent="0.35">
      <c r="A687" t="s">
        <v>712</v>
      </c>
      <c r="B687" t="s">
        <v>20</v>
      </c>
      <c r="C687" s="1">
        <v>44961</v>
      </c>
      <c r="E687" s="1">
        <f>SUM(Table1[[#This Row],[Delivery_Date]]-Table1[[#This Row],[Order_Date]])</f>
        <v>-44961</v>
      </c>
      <c r="F687" t="s">
        <v>39</v>
      </c>
      <c r="G687" t="s">
        <v>18</v>
      </c>
      <c r="H687">
        <v>1618</v>
      </c>
      <c r="I687">
        <v>32.76</v>
      </c>
      <c r="J687">
        <v>28.41</v>
      </c>
      <c r="K687">
        <f>Table1[[#This Row],[Quantity]]*Table1[[#This Row],[Negotiated_Price]]</f>
        <v>45967.38</v>
      </c>
      <c r="L687" s="5">
        <f>Table1[[#This Row],[Quantity]]*Table1[[#This Row],[Unit_Price]]</f>
        <v>53005.68</v>
      </c>
      <c r="M687">
        <f>Table1[[#This Row],[Unit_Price]]-Table1[[#This Row],[Negotiated_Price]]</f>
        <v>4.3499999999999979</v>
      </c>
      <c r="N687" s="2">
        <f>(Table1[[#This Row],[Unit_Price]]-Table1[[#This Row],[Negotiated_Price]])/Table1[[#This Row],[Unit_Price]]</f>
        <v>0.13278388278388273</v>
      </c>
      <c r="O687">
        <v>62</v>
      </c>
      <c r="P687" t="s">
        <v>15</v>
      </c>
      <c r="Q687">
        <f>IF(Table1[[#This Row],[Compliance]]="Yes", 1, 0)</f>
        <v>1</v>
      </c>
    </row>
    <row r="688" spans="1:17" x14ac:dyDescent="0.35">
      <c r="A688" t="s">
        <v>713</v>
      </c>
      <c r="B688" t="s">
        <v>23</v>
      </c>
      <c r="C688" s="1">
        <v>44991</v>
      </c>
      <c r="D688" s="1">
        <v>44992</v>
      </c>
      <c r="E688" s="1">
        <f>SUM(Table1[[#This Row],[Delivery_Date]]-Table1[[#This Row],[Order_Date]])</f>
        <v>1</v>
      </c>
      <c r="F688" t="s">
        <v>24</v>
      </c>
      <c r="G688" t="s">
        <v>18</v>
      </c>
      <c r="H688">
        <v>1006</v>
      </c>
      <c r="I688" s="4">
        <v>27.7</v>
      </c>
      <c r="J688" s="4">
        <v>23.66</v>
      </c>
      <c r="K688" s="4">
        <f>Table1[[#This Row],[Quantity]]*Table1[[#This Row],[Negotiated_Price]]</f>
        <v>23801.96</v>
      </c>
      <c r="L688" s="4">
        <f>Table1[[#This Row],[Quantity]]*Table1[[#This Row],[Unit_Price]]</f>
        <v>27866.2</v>
      </c>
      <c r="M688" s="4">
        <f>Table1[[#This Row],[Unit_Price]]-Table1[[#This Row],[Negotiated_Price]]</f>
        <v>4.0399999999999991</v>
      </c>
      <c r="N688" s="3">
        <f>(Table1[[#This Row],[Unit_Price]]-Table1[[#This Row],[Negotiated_Price]])/Table1[[#This Row],[Unit_Price]]</f>
        <v>0.1458483754512635</v>
      </c>
      <c r="O688">
        <v>101</v>
      </c>
      <c r="P688" t="s">
        <v>27</v>
      </c>
      <c r="Q688">
        <f>IF(Table1[[#This Row],[Compliance]]="Yes", 1, 0)</f>
        <v>0</v>
      </c>
    </row>
    <row r="689" spans="1:17" x14ac:dyDescent="0.35">
      <c r="A689" t="s">
        <v>714</v>
      </c>
      <c r="B689" t="s">
        <v>23</v>
      </c>
      <c r="C689" s="1">
        <v>45113</v>
      </c>
      <c r="D689" s="1">
        <v>45122</v>
      </c>
      <c r="E689" s="1">
        <f>SUM(Table1[[#This Row],[Delivery_Date]]-Table1[[#This Row],[Order_Date]])</f>
        <v>9</v>
      </c>
      <c r="F689" t="s">
        <v>39</v>
      </c>
      <c r="G689" t="s">
        <v>33</v>
      </c>
      <c r="H689">
        <v>740</v>
      </c>
      <c r="I689" s="4">
        <v>32.53</v>
      </c>
      <c r="J689" s="4">
        <v>29.35</v>
      </c>
      <c r="K689" s="4">
        <f>Table1[[#This Row],[Quantity]]*Table1[[#This Row],[Negotiated_Price]]</f>
        <v>21719</v>
      </c>
      <c r="L689" s="4">
        <f>Table1[[#This Row],[Quantity]]*Table1[[#This Row],[Unit_Price]]</f>
        <v>24072.2</v>
      </c>
      <c r="M689" s="4">
        <f>Table1[[#This Row],[Unit_Price]]-Table1[[#This Row],[Negotiated_Price]]</f>
        <v>3.1799999999999997</v>
      </c>
      <c r="N689" s="3">
        <f>(Table1[[#This Row],[Unit_Price]]-Table1[[#This Row],[Negotiated_Price]])/Table1[[#This Row],[Unit_Price]]</f>
        <v>9.7755917614509677E-2</v>
      </c>
      <c r="O689">
        <v>84</v>
      </c>
      <c r="P689" t="s">
        <v>15</v>
      </c>
      <c r="Q689">
        <f>IF(Table1[[#This Row],[Compliance]]="Yes", 1, 0)</f>
        <v>1</v>
      </c>
    </row>
    <row r="690" spans="1:17" hidden="1" x14ac:dyDescent="0.35">
      <c r="A690" t="s">
        <v>715</v>
      </c>
      <c r="B690" t="s">
        <v>20</v>
      </c>
      <c r="C690" s="1">
        <v>45121</v>
      </c>
      <c r="E690" s="1">
        <f>SUM(Table1[[#This Row],[Delivery_Date]]-Table1[[#This Row],[Order_Date]])</f>
        <v>-45121</v>
      </c>
      <c r="F690" t="s">
        <v>26</v>
      </c>
      <c r="G690" t="s">
        <v>18</v>
      </c>
      <c r="H690">
        <v>1500</v>
      </c>
      <c r="I690">
        <v>29.19</v>
      </c>
      <c r="J690">
        <v>27.24</v>
      </c>
      <c r="K690">
        <f>Table1[[#This Row],[Quantity]]*Table1[[#This Row],[Negotiated_Price]]</f>
        <v>40860</v>
      </c>
      <c r="L690" s="5">
        <f>Table1[[#This Row],[Quantity]]*Table1[[#This Row],[Unit_Price]]</f>
        <v>43785</v>
      </c>
      <c r="M690">
        <f>Table1[[#This Row],[Unit_Price]]-Table1[[#This Row],[Negotiated_Price]]</f>
        <v>1.9500000000000028</v>
      </c>
      <c r="N690" s="2">
        <f>(Table1[[#This Row],[Unit_Price]]-Table1[[#This Row],[Negotiated_Price]])/Table1[[#This Row],[Unit_Price]]</f>
        <v>6.6803699897225177E-2</v>
      </c>
      <c r="O690">
        <v>72</v>
      </c>
      <c r="P690" t="s">
        <v>15</v>
      </c>
      <c r="Q690">
        <f>IF(Table1[[#This Row],[Compliance]]="Yes", 1, 0)</f>
        <v>1</v>
      </c>
    </row>
    <row r="691" spans="1:17" x14ac:dyDescent="0.35">
      <c r="A691" t="s">
        <v>716</v>
      </c>
      <c r="B691" t="s">
        <v>17</v>
      </c>
      <c r="C691" s="1">
        <v>45179</v>
      </c>
      <c r="D691" s="1">
        <v>45198</v>
      </c>
      <c r="E691" s="1">
        <f>SUM(Table1[[#This Row],[Delivery_Date]]-Table1[[#This Row],[Order_Date]])</f>
        <v>19</v>
      </c>
      <c r="F691" t="s">
        <v>13</v>
      </c>
      <c r="G691" t="s">
        <v>14</v>
      </c>
      <c r="H691">
        <v>1686</v>
      </c>
      <c r="I691" s="4">
        <v>88.18</v>
      </c>
      <c r="J691" s="4">
        <v>77.150000000000006</v>
      </c>
      <c r="K691" s="4">
        <f>Table1[[#This Row],[Quantity]]*Table1[[#This Row],[Negotiated_Price]]</f>
        <v>130074.90000000001</v>
      </c>
      <c r="L691" s="4">
        <f>Table1[[#This Row],[Quantity]]*Table1[[#This Row],[Unit_Price]]</f>
        <v>148671.48000000001</v>
      </c>
      <c r="M691" s="4">
        <f>Table1[[#This Row],[Unit_Price]]-Table1[[#This Row],[Negotiated_Price]]</f>
        <v>11.030000000000001</v>
      </c>
      <c r="N691" s="3">
        <f>(Table1[[#This Row],[Unit_Price]]-Table1[[#This Row],[Negotiated_Price]])/Table1[[#This Row],[Unit_Price]]</f>
        <v>0.12508505330006806</v>
      </c>
      <c r="P691" t="s">
        <v>15</v>
      </c>
      <c r="Q691">
        <f>IF(Table1[[#This Row],[Compliance]]="Yes", 1, 0)</f>
        <v>1</v>
      </c>
    </row>
    <row r="692" spans="1:17" x14ac:dyDescent="0.35">
      <c r="A692" t="s">
        <v>717</v>
      </c>
      <c r="B692" t="s">
        <v>29</v>
      </c>
      <c r="C692" s="1">
        <v>44787</v>
      </c>
      <c r="D692" s="1">
        <v>44789</v>
      </c>
      <c r="E692" s="1">
        <f>SUM(Table1[[#This Row],[Delivery_Date]]-Table1[[#This Row],[Order_Date]])</f>
        <v>2</v>
      </c>
      <c r="F692" t="s">
        <v>26</v>
      </c>
      <c r="G692" t="s">
        <v>14</v>
      </c>
      <c r="H692">
        <v>1341</v>
      </c>
      <c r="I692" s="4">
        <v>42.96</v>
      </c>
      <c r="J692" s="4">
        <v>41.75</v>
      </c>
      <c r="K692" s="4">
        <f>Table1[[#This Row],[Quantity]]*Table1[[#This Row],[Negotiated_Price]]</f>
        <v>55986.75</v>
      </c>
      <c r="L692" s="4">
        <f>Table1[[#This Row],[Quantity]]*Table1[[#This Row],[Unit_Price]]</f>
        <v>57609.36</v>
      </c>
      <c r="M692" s="4">
        <f>Table1[[#This Row],[Unit_Price]]-Table1[[#This Row],[Negotiated_Price]]</f>
        <v>1.2100000000000009</v>
      </c>
      <c r="N692" s="3">
        <f>(Table1[[#This Row],[Unit_Price]]-Table1[[#This Row],[Negotiated_Price]])/Table1[[#This Row],[Unit_Price]]</f>
        <v>2.8165735567970224E-2</v>
      </c>
      <c r="O692">
        <v>39</v>
      </c>
      <c r="P692" t="s">
        <v>15</v>
      </c>
      <c r="Q692">
        <f>IF(Table1[[#This Row],[Compliance]]="Yes", 1, 0)</f>
        <v>1</v>
      </c>
    </row>
    <row r="693" spans="1:17" x14ac:dyDescent="0.35">
      <c r="A693" t="s">
        <v>718</v>
      </c>
      <c r="B693" t="s">
        <v>12</v>
      </c>
      <c r="C693" s="1">
        <v>45061</v>
      </c>
      <c r="D693" s="1">
        <v>45067</v>
      </c>
      <c r="E693" s="1">
        <f>SUM(Table1[[#This Row],[Delivery_Date]]-Table1[[#This Row],[Order_Date]])</f>
        <v>6</v>
      </c>
      <c r="F693" t="s">
        <v>21</v>
      </c>
      <c r="G693" t="s">
        <v>14</v>
      </c>
      <c r="H693">
        <v>1908</v>
      </c>
      <c r="I693" s="4">
        <v>16.420000000000002</v>
      </c>
      <c r="J693" s="4">
        <v>15.31</v>
      </c>
      <c r="K693" s="4">
        <f>Table1[[#This Row],[Quantity]]*Table1[[#This Row],[Negotiated_Price]]</f>
        <v>29211.48</v>
      </c>
      <c r="L693" s="4">
        <f>Table1[[#This Row],[Quantity]]*Table1[[#This Row],[Unit_Price]]</f>
        <v>31329.360000000004</v>
      </c>
      <c r="M693" s="4">
        <f>Table1[[#This Row],[Unit_Price]]-Table1[[#This Row],[Negotiated_Price]]</f>
        <v>1.1100000000000012</v>
      </c>
      <c r="N693" s="3">
        <f>(Table1[[#This Row],[Unit_Price]]-Table1[[#This Row],[Negotiated_Price]])/Table1[[#This Row],[Unit_Price]]</f>
        <v>6.7600487210718707E-2</v>
      </c>
      <c r="O693">
        <v>36</v>
      </c>
      <c r="P693" t="s">
        <v>15</v>
      </c>
      <c r="Q693">
        <f>IF(Table1[[#This Row],[Compliance]]="Yes", 1, 0)</f>
        <v>1</v>
      </c>
    </row>
    <row r="694" spans="1:17" x14ac:dyDescent="0.35">
      <c r="A694" t="s">
        <v>719</v>
      </c>
      <c r="B694" t="s">
        <v>20</v>
      </c>
      <c r="C694" s="1">
        <v>44786</v>
      </c>
      <c r="D694" s="1">
        <v>44806</v>
      </c>
      <c r="E694" s="1">
        <f>SUM(Table1[[#This Row],[Delivery_Date]]-Table1[[#This Row],[Order_Date]])</f>
        <v>20</v>
      </c>
      <c r="F694" t="s">
        <v>21</v>
      </c>
      <c r="G694" t="s">
        <v>33</v>
      </c>
      <c r="H694">
        <v>1650</v>
      </c>
      <c r="I694" s="4">
        <v>100.62</v>
      </c>
      <c r="J694" s="4">
        <v>90.45</v>
      </c>
      <c r="K694" s="4">
        <f>Table1[[#This Row],[Quantity]]*Table1[[#This Row],[Negotiated_Price]]</f>
        <v>149242.5</v>
      </c>
      <c r="L694" s="4">
        <f>Table1[[#This Row],[Quantity]]*Table1[[#This Row],[Unit_Price]]</f>
        <v>166023</v>
      </c>
      <c r="M694" s="4">
        <f>Table1[[#This Row],[Unit_Price]]-Table1[[#This Row],[Negotiated_Price]]</f>
        <v>10.170000000000002</v>
      </c>
      <c r="N694" s="3">
        <f>(Table1[[#This Row],[Unit_Price]]-Table1[[#This Row],[Negotiated_Price]])/Table1[[#This Row],[Unit_Price]]</f>
        <v>0.10107334525939178</v>
      </c>
      <c r="O694">
        <v>85</v>
      </c>
      <c r="P694" t="s">
        <v>15</v>
      </c>
      <c r="Q694">
        <f>IF(Table1[[#This Row],[Compliance]]="Yes", 1, 0)</f>
        <v>1</v>
      </c>
    </row>
    <row r="695" spans="1:17" x14ac:dyDescent="0.35">
      <c r="A695" t="s">
        <v>720</v>
      </c>
      <c r="B695" t="s">
        <v>12</v>
      </c>
      <c r="C695" s="1">
        <v>44841</v>
      </c>
      <c r="D695" s="1">
        <v>44854</v>
      </c>
      <c r="E695" s="1">
        <f>SUM(Table1[[#This Row],[Delivery_Date]]-Table1[[#This Row],[Order_Date]])</f>
        <v>13</v>
      </c>
      <c r="F695" t="s">
        <v>21</v>
      </c>
      <c r="G695" t="s">
        <v>18</v>
      </c>
      <c r="H695">
        <v>1490</v>
      </c>
      <c r="I695" s="4">
        <v>93.57</v>
      </c>
      <c r="J695" s="4">
        <v>81.680000000000007</v>
      </c>
      <c r="K695" s="4">
        <f>Table1[[#This Row],[Quantity]]*Table1[[#This Row],[Negotiated_Price]]</f>
        <v>121703.20000000001</v>
      </c>
      <c r="L695" s="4">
        <f>Table1[[#This Row],[Quantity]]*Table1[[#This Row],[Unit_Price]]</f>
        <v>139419.29999999999</v>
      </c>
      <c r="M695" s="4">
        <f>Table1[[#This Row],[Unit_Price]]-Table1[[#This Row],[Negotiated_Price]]</f>
        <v>11.889999999999986</v>
      </c>
      <c r="N695" s="3">
        <f>(Table1[[#This Row],[Unit_Price]]-Table1[[#This Row],[Negotiated_Price]])/Table1[[#This Row],[Unit_Price]]</f>
        <v>0.1270706422998823</v>
      </c>
      <c r="O695">
        <v>29</v>
      </c>
      <c r="P695" t="s">
        <v>15</v>
      </c>
      <c r="Q695">
        <f>IF(Table1[[#This Row],[Compliance]]="Yes", 1, 0)</f>
        <v>1</v>
      </c>
    </row>
    <row r="696" spans="1:17" x14ac:dyDescent="0.35">
      <c r="A696" t="s">
        <v>721</v>
      </c>
      <c r="B696" t="s">
        <v>17</v>
      </c>
      <c r="C696" s="1">
        <v>45008</v>
      </c>
      <c r="D696" s="1">
        <v>45016</v>
      </c>
      <c r="E696" s="1">
        <f>SUM(Table1[[#This Row],[Delivery_Date]]-Table1[[#This Row],[Order_Date]])</f>
        <v>8</v>
      </c>
      <c r="F696" t="s">
        <v>26</v>
      </c>
      <c r="G696" t="s">
        <v>18</v>
      </c>
      <c r="H696">
        <v>1241</v>
      </c>
      <c r="I696" s="4">
        <v>100.04</v>
      </c>
      <c r="J696" s="4">
        <v>97.56</v>
      </c>
      <c r="K696" s="4">
        <f>Table1[[#This Row],[Quantity]]*Table1[[#This Row],[Negotiated_Price]]</f>
        <v>121071.96</v>
      </c>
      <c r="L696" s="4">
        <f>Table1[[#This Row],[Quantity]]*Table1[[#This Row],[Unit_Price]]</f>
        <v>124149.64000000001</v>
      </c>
      <c r="M696" s="4">
        <f>Table1[[#This Row],[Unit_Price]]-Table1[[#This Row],[Negotiated_Price]]</f>
        <v>2.480000000000004</v>
      </c>
      <c r="N696" s="3">
        <f>(Table1[[#This Row],[Unit_Price]]-Table1[[#This Row],[Negotiated_Price]])/Table1[[#This Row],[Unit_Price]]</f>
        <v>2.4790083966413475E-2</v>
      </c>
      <c r="O696">
        <v>187</v>
      </c>
      <c r="P696" t="s">
        <v>15</v>
      </c>
      <c r="Q696">
        <f>IF(Table1[[#This Row],[Compliance]]="Yes", 1, 0)</f>
        <v>1</v>
      </c>
    </row>
    <row r="697" spans="1:17" x14ac:dyDescent="0.35">
      <c r="A697" t="s">
        <v>722</v>
      </c>
      <c r="B697" t="s">
        <v>23</v>
      </c>
      <c r="C697" s="1">
        <v>45059</v>
      </c>
      <c r="D697" s="1">
        <v>45063</v>
      </c>
      <c r="E697" s="1">
        <f>SUM(Table1[[#This Row],[Delivery_Date]]-Table1[[#This Row],[Order_Date]])</f>
        <v>4</v>
      </c>
      <c r="F697" t="s">
        <v>21</v>
      </c>
      <c r="G697" t="s">
        <v>18</v>
      </c>
      <c r="H697">
        <v>1915</v>
      </c>
      <c r="I697" s="4">
        <v>107.51</v>
      </c>
      <c r="J697" s="4">
        <v>102.66</v>
      </c>
      <c r="K697" s="4">
        <f>Table1[[#This Row],[Quantity]]*Table1[[#This Row],[Negotiated_Price]]</f>
        <v>196593.9</v>
      </c>
      <c r="L697" s="4">
        <f>Table1[[#This Row],[Quantity]]*Table1[[#This Row],[Unit_Price]]</f>
        <v>205881.65000000002</v>
      </c>
      <c r="M697" s="4">
        <f>Table1[[#This Row],[Unit_Price]]-Table1[[#This Row],[Negotiated_Price]]</f>
        <v>4.8500000000000085</v>
      </c>
      <c r="N697" s="3">
        <f>(Table1[[#This Row],[Unit_Price]]-Table1[[#This Row],[Negotiated_Price]])/Table1[[#This Row],[Unit_Price]]</f>
        <v>4.5112082596967799E-2</v>
      </c>
      <c r="O697">
        <v>184</v>
      </c>
      <c r="P697" t="s">
        <v>15</v>
      </c>
      <c r="Q697">
        <f>IF(Table1[[#This Row],[Compliance]]="Yes", 1, 0)</f>
        <v>1</v>
      </c>
    </row>
    <row r="698" spans="1:17" x14ac:dyDescent="0.35">
      <c r="A698" t="s">
        <v>723</v>
      </c>
      <c r="B698" t="s">
        <v>23</v>
      </c>
      <c r="C698" s="1">
        <v>44591</v>
      </c>
      <c r="D698" s="1">
        <v>44606</v>
      </c>
      <c r="E698" s="1">
        <f>SUM(Table1[[#This Row],[Delivery_Date]]-Table1[[#This Row],[Order_Date]])</f>
        <v>15</v>
      </c>
      <c r="F698" t="s">
        <v>26</v>
      </c>
      <c r="G698" t="s">
        <v>18</v>
      </c>
      <c r="H698">
        <v>1116</v>
      </c>
      <c r="I698" s="4">
        <v>25.65</v>
      </c>
      <c r="J698" s="4">
        <v>24.28</v>
      </c>
      <c r="K698" s="4">
        <f>Table1[[#This Row],[Quantity]]*Table1[[#This Row],[Negotiated_Price]]</f>
        <v>27096.48</v>
      </c>
      <c r="L698" s="4">
        <f>Table1[[#This Row],[Quantity]]*Table1[[#This Row],[Unit_Price]]</f>
        <v>28625.399999999998</v>
      </c>
      <c r="M698" s="4">
        <f>Table1[[#This Row],[Unit_Price]]-Table1[[#This Row],[Negotiated_Price]]</f>
        <v>1.3699999999999974</v>
      </c>
      <c r="N698" s="3">
        <f>(Table1[[#This Row],[Unit_Price]]-Table1[[#This Row],[Negotiated_Price]])/Table1[[#This Row],[Unit_Price]]</f>
        <v>5.3411306042884896E-2</v>
      </c>
      <c r="O698">
        <v>121</v>
      </c>
      <c r="P698" t="s">
        <v>15</v>
      </c>
      <c r="Q698">
        <f>IF(Table1[[#This Row],[Compliance]]="Yes", 1, 0)</f>
        <v>1</v>
      </c>
    </row>
    <row r="699" spans="1:17" x14ac:dyDescent="0.35">
      <c r="A699" t="s">
        <v>724</v>
      </c>
      <c r="B699" t="s">
        <v>17</v>
      </c>
      <c r="C699" s="1">
        <v>44960</v>
      </c>
      <c r="D699" s="1">
        <v>44965</v>
      </c>
      <c r="E699" s="1">
        <f>SUM(Table1[[#This Row],[Delivery_Date]]-Table1[[#This Row],[Order_Date]])</f>
        <v>5</v>
      </c>
      <c r="F699" t="s">
        <v>26</v>
      </c>
      <c r="G699" t="s">
        <v>18</v>
      </c>
      <c r="H699">
        <v>1629</v>
      </c>
      <c r="I699" s="4">
        <v>48.63</v>
      </c>
      <c r="J699" s="4">
        <v>43.28</v>
      </c>
      <c r="K699" s="4">
        <f>Table1[[#This Row],[Quantity]]*Table1[[#This Row],[Negotiated_Price]]</f>
        <v>70503.12</v>
      </c>
      <c r="L699" s="4">
        <f>Table1[[#This Row],[Quantity]]*Table1[[#This Row],[Unit_Price]]</f>
        <v>79218.27</v>
      </c>
      <c r="M699" s="4">
        <f>Table1[[#This Row],[Unit_Price]]-Table1[[#This Row],[Negotiated_Price]]</f>
        <v>5.3500000000000014</v>
      </c>
      <c r="N699" s="3">
        <f>(Table1[[#This Row],[Unit_Price]]-Table1[[#This Row],[Negotiated_Price]])/Table1[[#This Row],[Unit_Price]]</f>
        <v>0.11001439440674483</v>
      </c>
      <c r="O699">
        <v>260</v>
      </c>
      <c r="P699" t="s">
        <v>15</v>
      </c>
      <c r="Q699">
        <f>IF(Table1[[#This Row],[Compliance]]="Yes", 1, 0)</f>
        <v>1</v>
      </c>
    </row>
    <row r="700" spans="1:17" x14ac:dyDescent="0.35">
      <c r="A700" t="s">
        <v>725</v>
      </c>
      <c r="B700" t="s">
        <v>29</v>
      </c>
      <c r="C700" s="1">
        <v>44906</v>
      </c>
      <c r="D700" s="1">
        <v>44913</v>
      </c>
      <c r="E700" s="1">
        <f>SUM(Table1[[#This Row],[Delivery_Date]]-Table1[[#This Row],[Order_Date]])</f>
        <v>7</v>
      </c>
      <c r="F700" t="s">
        <v>13</v>
      </c>
      <c r="G700" t="s">
        <v>18</v>
      </c>
      <c r="H700">
        <v>334</v>
      </c>
      <c r="I700" s="4">
        <v>82.54</v>
      </c>
      <c r="J700" s="4">
        <v>74.63</v>
      </c>
      <c r="K700" s="4">
        <f>Table1[[#This Row],[Quantity]]*Table1[[#This Row],[Negotiated_Price]]</f>
        <v>24926.42</v>
      </c>
      <c r="L700" s="4">
        <f>Table1[[#This Row],[Quantity]]*Table1[[#This Row],[Unit_Price]]</f>
        <v>27568.36</v>
      </c>
      <c r="M700" s="4">
        <f>Table1[[#This Row],[Unit_Price]]-Table1[[#This Row],[Negotiated_Price]]</f>
        <v>7.9100000000000108</v>
      </c>
      <c r="N700" s="3">
        <f>(Table1[[#This Row],[Unit_Price]]-Table1[[#This Row],[Negotiated_Price]])/Table1[[#This Row],[Unit_Price]]</f>
        <v>9.5832323721831966E-2</v>
      </c>
      <c r="P700" t="s">
        <v>15</v>
      </c>
      <c r="Q700">
        <f>IF(Table1[[#This Row],[Compliance]]="Yes", 1, 0)</f>
        <v>1</v>
      </c>
    </row>
    <row r="701" spans="1:17" x14ac:dyDescent="0.35">
      <c r="A701" t="s">
        <v>726</v>
      </c>
      <c r="B701" t="s">
        <v>29</v>
      </c>
      <c r="C701" s="1">
        <v>45246</v>
      </c>
      <c r="D701" s="1">
        <v>45266</v>
      </c>
      <c r="E701" s="1">
        <f>SUM(Table1[[#This Row],[Delivery_Date]]-Table1[[#This Row],[Order_Date]])</f>
        <v>20</v>
      </c>
      <c r="F701" t="s">
        <v>24</v>
      </c>
      <c r="G701" t="s">
        <v>18</v>
      </c>
      <c r="H701">
        <v>446</v>
      </c>
      <c r="I701" s="4">
        <v>80.63</v>
      </c>
      <c r="J701" s="4">
        <v>70.37</v>
      </c>
      <c r="K701" s="4">
        <f>Table1[[#This Row],[Quantity]]*Table1[[#This Row],[Negotiated_Price]]</f>
        <v>31385.02</v>
      </c>
      <c r="L701" s="4">
        <f>Table1[[#This Row],[Quantity]]*Table1[[#This Row],[Unit_Price]]</f>
        <v>35960.979999999996</v>
      </c>
      <c r="M701" s="4">
        <f>Table1[[#This Row],[Unit_Price]]-Table1[[#This Row],[Negotiated_Price]]</f>
        <v>10.259999999999991</v>
      </c>
      <c r="N701" s="3">
        <f>(Table1[[#This Row],[Unit_Price]]-Table1[[#This Row],[Negotiated_Price]])/Table1[[#This Row],[Unit_Price]]</f>
        <v>0.12724792260945048</v>
      </c>
      <c r="P701" t="s">
        <v>15</v>
      </c>
      <c r="Q701">
        <f>IF(Table1[[#This Row],[Compliance]]="Yes", 1, 0)</f>
        <v>1</v>
      </c>
    </row>
    <row r="702" spans="1:17" hidden="1" x14ac:dyDescent="0.35">
      <c r="A702" t="s">
        <v>727</v>
      </c>
      <c r="B702" t="s">
        <v>17</v>
      </c>
      <c r="C702" s="1">
        <v>45257</v>
      </c>
      <c r="E702" s="1">
        <f>SUM(Table1[[#This Row],[Delivery_Date]]-Table1[[#This Row],[Order_Date]])</f>
        <v>-45257</v>
      </c>
      <c r="F702" t="s">
        <v>39</v>
      </c>
      <c r="G702" t="s">
        <v>18</v>
      </c>
      <c r="H702">
        <v>61</v>
      </c>
      <c r="I702">
        <v>26.47</v>
      </c>
      <c r="J702">
        <v>24.62</v>
      </c>
      <c r="K702">
        <f>Table1[[#This Row],[Quantity]]*Table1[[#This Row],[Negotiated_Price]]</f>
        <v>1501.8200000000002</v>
      </c>
      <c r="L702" s="5">
        <f>Table1[[#This Row],[Quantity]]*Table1[[#This Row],[Unit_Price]]</f>
        <v>1614.6699999999998</v>
      </c>
      <c r="M702">
        <f>Table1[[#This Row],[Unit_Price]]-Table1[[#This Row],[Negotiated_Price]]</f>
        <v>1.8499999999999979</v>
      </c>
      <c r="N702" s="2">
        <f>(Table1[[#This Row],[Unit_Price]]-Table1[[#This Row],[Negotiated_Price]])/Table1[[#This Row],[Unit_Price]]</f>
        <v>6.9890442009822362E-2</v>
      </c>
      <c r="O702">
        <v>6</v>
      </c>
      <c r="P702" t="s">
        <v>15</v>
      </c>
      <c r="Q702">
        <f>IF(Table1[[#This Row],[Compliance]]="Yes", 1, 0)</f>
        <v>1</v>
      </c>
    </row>
    <row r="703" spans="1:17" x14ac:dyDescent="0.35">
      <c r="A703" t="s">
        <v>728</v>
      </c>
      <c r="B703" t="s">
        <v>17</v>
      </c>
      <c r="C703" s="1">
        <v>44976</v>
      </c>
      <c r="D703" s="1">
        <v>44978</v>
      </c>
      <c r="E703" s="1">
        <f>SUM(Table1[[#This Row],[Delivery_Date]]-Table1[[#This Row],[Order_Date]])</f>
        <v>2</v>
      </c>
      <c r="F703" t="s">
        <v>24</v>
      </c>
      <c r="G703" t="s">
        <v>18</v>
      </c>
      <c r="H703">
        <v>1680</v>
      </c>
      <c r="I703" s="4">
        <v>88.85</v>
      </c>
      <c r="J703" s="4">
        <v>87.53</v>
      </c>
      <c r="K703" s="4">
        <f>Table1[[#This Row],[Quantity]]*Table1[[#This Row],[Negotiated_Price]]</f>
        <v>147050.4</v>
      </c>
      <c r="L703" s="4">
        <f>Table1[[#This Row],[Quantity]]*Table1[[#This Row],[Unit_Price]]</f>
        <v>149268</v>
      </c>
      <c r="M703" s="4">
        <f>Table1[[#This Row],[Unit_Price]]-Table1[[#This Row],[Negotiated_Price]]</f>
        <v>1.3199999999999932</v>
      </c>
      <c r="N703" s="3">
        <f>(Table1[[#This Row],[Unit_Price]]-Table1[[#This Row],[Negotiated_Price]])/Table1[[#This Row],[Unit_Price]]</f>
        <v>1.4856499718626823E-2</v>
      </c>
      <c r="P703" t="s">
        <v>15</v>
      </c>
      <c r="Q703">
        <f>IF(Table1[[#This Row],[Compliance]]="Yes", 1, 0)</f>
        <v>1</v>
      </c>
    </row>
    <row r="704" spans="1:17" x14ac:dyDescent="0.35">
      <c r="A704" t="s">
        <v>729</v>
      </c>
      <c r="B704" t="s">
        <v>17</v>
      </c>
      <c r="C704" s="1">
        <v>44731</v>
      </c>
      <c r="D704" s="1">
        <v>44748</v>
      </c>
      <c r="E704" s="1">
        <f>SUM(Table1[[#This Row],[Delivery_Date]]-Table1[[#This Row],[Order_Date]])</f>
        <v>17</v>
      </c>
      <c r="F704" t="s">
        <v>39</v>
      </c>
      <c r="G704" t="s">
        <v>18</v>
      </c>
      <c r="H704">
        <v>1375</v>
      </c>
      <c r="I704" s="4">
        <v>30.95</v>
      </c>
      <c r="J704" s="4">
        <v>30.02</v>
      </c>
      <c r="K704" s="4">
        <f>Table1[[#This Row],[Quantity]]*Table1[[#This Row],[Negotiated_Price]]</f>
        <v>41277.5</v>
      </c>
      <c r="L704" s="4">
        <f>Table1[[#This Row],[Quantity]]*Table1[[#This Row],[Unit_Price]]</f>
        <v>42556.25</v>
      </c>
      <c r="M704" s="4">
        <f>Table1[[#This Row],[Unit_Price]]-Table1[[#This Row],[Negotiated_Price]]</f>
        <v>0.92999999999999972</v>
      </c>
      <c r="N704" s="3">
        <f>(Table1[[#This Row],[Unit_Price]]-Table1[[#This Row],[Negotiated_Price]])/Table1[[#This Row],[Unit_Price]]</f>
        <v>3.0048465266558959E-2</v>
      </c>
      <c r="O704">
        <v>223</v>
      </c>
      <c r="P704" t="s">
        <v>15</v>
      </c>
      <c r="Q704">
        <f>IF(Table1[[#This Row],[Compliance]]="Yes", 1, 0)</f>
        <v>1</v>
      </c>
    </row>
    <row r="705" spans="1:17" x14ac:dyDescent="0.35">
      <c r="A705" t="s">
        <v>730</v>
      </c>
      <c r="B705" t="s">
        <v>17</v>
      </c>
      <c r="C705" s="1">
        <v>45040</v>
      </c>
      <c r="D705" s="1">
        <v>45051</v>
      </c>
      <c r="E705" s="1">
        <f>SUM(Table1[[#This Row],[Delivery_Date]]-Table1[[#This Row],[Order_Date]])</f>
        <v>11</v>
      </c>
      <c r="F705" t="s">
        <v>39</v>
      </c>
      <c r="G705" t="s">
        <v>33</v>
      </c>
      <c r="H705">
        <v>1971</v>
      </c>
      <c r="I705" s="4">
        <v>32.4</v>
      </c>
      <c r="J705" s="4">
        <v>30.48</v>
      </c>
      <c r="K705" s="4">
        <f>Table1[[#This Row],[Quantity]]*Table1[[#This Row],[Negotiated_Price]]</f>
        <v>60076.08</v>
      </c>
      <c r="L705" s="4">
        <f>Table1[[#This Row],[Quantity]]*Table1[[#This Row],[Unit_Price]]</f>
        <v>63860.399999999994</v>
      </c>
      <c r="M705" s="4">
        <f>Table1[[#This Row],[Unit_Price]]-Table1[[#This Row],[Negotiated_Price]]</f>
        <v>1.9199999999999982</v>
      </c>
      <c r="N705" s="3">
        <f>(Table1[[#This Row],[Unit_Price]]-Table1[[#This Row],[Negotiated_Price]])/Table1[[#This Row],[Unit_Price]]</f>
        <v>5.9259259259259206E-2</v>
      </c>
      <c r="O705">
        <v>321</v>
      </c>
      <c r="P705" t="s">
        <v>15</v>
      </c>
      <c r="Q705">
        <f>IF(Table1[[#This Row],[Compliance]]="Yes", 1, 0)</f>
        <v>1</v>
      </c>
    </row>
    <row r="706" spans="1:17" hidden="1" x14ac:dyDescent="0.35">
      <c r="A706" t="s">
        <v>731</v>
      </c>
      <c r="B706" t="s">
        <v>17</v>
      </c>
      <c r="C706" s="1">
        <v>44692</v>
      </c>
      <c r="E706" s="1">
        <f>SUM(Table1[[#This Row],[Delivery_Date]]-Table1[[#This Row],[Order_Date]])</f>
        <v>-44692</v>
      </c>
      <c r="F706" t="s">
        <v>26</v>
      </c>
      <c r="G706" t="s">
        <v>35</v>
      </c>
      <c r="H706">
        <v>1326</v>
      </c>
      <c r="I706">
        <v>59.49</v>
      </c>
      <c r="J706">
        <v>56.21</v>
      </c>
      <c r="K706">
        <f>Table1[[#This Row],[Quantity]]*Table1[[#This Row],[Negotiated_Price]]</f>
        <v>74534.460000000006</v>
      </c>
      <c r="L706" s="5">
        <f>Table1[[#This Row],[Quantity]]*Table1[[#This Row],[Unit_Price]]</f>
        <v>78883.740000000005</v>
      </c>
      <c r="M706">
        <f>Table1[[#This Row],[Unit_Price]]-Table1[[#This Row],[Negotiated_Price]]</f>
        <v>3.2800000000000011</v>
      </c>
      <c r="N706" s="2">
        <f>(Table1[[#This Row],[Unit_Price]]-Table1[[#This Row],[Negotiated_Price]])/Table1[[#This Row],[Unit_Price]]</f>
        <v>5.5135316859976483E-2</v>
      </c>
      <c r="P706" t="s">
        <v>15</v>
      </c>
      <c r="Q706">
        <f>IF(Table1[[#This Row],[Compliance]]="Yes", 1, 0)</f>
        <v>1</v>
      </c>
    </row>
    <row r="707" spans="1:17" x14ac:dyDescent="0.35">
      <c r="A707" t="s">
        <v>732</v>
      </c>
      <c r="B707" t="s">
        <v>17</v>
      </c>
      <c r="C707" s="1">
        <v>45199</v>
      </c>
      <c r="D707" s="1">
        <v>45212</v>
      </c>
      <c r="E707" s="1">
        <f>SUM(Table1[[#This Row],[Delivery_Date]]-Table1[[#This Row],[Order_Date]])</f>
        <v>13</v>
      </c>
      <c r="F707" t="s">
        <v>21</v>
      </c>
      <c r="G707" t="s">
        <v>14</v>
      </c>
      <c r="H707">
        <v>548</v>
      </c>
      <c r="I707" s="4">
        <v>69.7</v>
      </c>
      <c r="J707" s="4">
        <v>61.87</v>
      </c>
      <c r="K707" s="4">
        <f>Table1[[#This Row],[Quantity]]*Table1[[#This Row],[Negotiated_Price]]</f>
        <v>33904.76</v>
      </c>
      <c r="L707" s="4">
        <f>Table1[[#This Row],[Quantity]]*Table1[[#This Row],[Unit_Price]]</f>
        <v>38195.599999999999</v>
      </c>
      <c r="M707" s="4">
        <f>Table1[[#This Row],[Unit_Price]]-Table1[[#This Row],[Negotiated_Price]]</f>
        <v>7.8300000000000054</v>
      </c>
      <c r="N707" s="3">
        <f>(Table1[[#This Row],[Unit_Price]]-Table1[[#This Row],[Negotiated_Price]])/Table1[[#This Row],[Unit_Price]]</f>
        <v>0.1123385939741751</v>
      </c>
      <c r="O707">
        <v>90</v>
      </c>
      <c r="P707" t="s">
        <v>15</v>
      </c>
      <c r="Q707">
        <f>IF(Table1[[#This Row],[Compliance]]="Yes", 1, 0)</f>
        <v>1</v>
      </c>
    </row>
    <row r="708" spans="1:17" x14ac:dyDescent="0.35">
      <c r="A708" t="s">
        <v>733</v>
      </c>
      <c r="B708" t="s">
        <v>23</v>
      </c>
      <c r="C708" s="1">
        <v>45108</v>
      </c>
      <c r="D708" s="1">
        <v>45114</v>
      </c>
      <c r="E708" s="1">
        <f>SUM(Table1[[#This Row],[Delivery_Date]]-Table1[[#This Row],[Order_Date]])</f>
        <v>6</v>
      </c>
      <c r="F708" t="s">
        <v>21</v>
      </c>
      <c r="G708" t="s">
        <v>18</v>
      </c>
      <c r="H708">
        <v>803</v>
      </c>
      <c r="I708" s="4">
        <v>67.81</v>
      </c>
      <c r="J708" s="4">
        <v>61.53</v>
      </c>
      <c r="K708" s="4">
        <f>Table1[[#This Row],[Quantity]]*Table1[[#This Row],[Negotiated_Price]]</f>
        <v>49408.590000000004</v>
      </c>
      <c r="L708" s="4">
        <f>Table1[[#This Row],[Quantity]]*Table1[[#This Row],[Unit_Price]]</f>
        <v>54451.43</v>
      </c>
      <c r="M708" s="4">
        <f>Table1[[#This Row],[Unit_Price]]-Table1[[#This Row],[Negotiated_Price]]</f>
        <v>6.2800000000000011</v>
      </c>
      <c r="N708" s="3">
        <f>(Table1[[#This Row],[Unit_Price]]-Table1[[#This Row],[Negotiated_Price]])/Table1[[#This Row],[Unit_Price]]</f>
        <v>9.2611709187435498E-2</v>
      </c>
      <c r="O708">
        <v>78</v>
      </c>
      <c r="P708" t="s">
        <v>15</v>
      </c>
      <c r="Q708">
        <f>IF(Table1[[#This Row],[Compliance]]="Yes", 1, 0)</f>
        <v>1</v>
      </c>
    </row>
    <row r="709" spans="1:17" x14ac:dyDescent="0.35">
      <c r="A709" t="s">
        <v>734</v>
      </c>
      <c r="B709" t="s">
        <v>12</v>
      </c>
      <c r="C709" s="1">
        <v>44589</v>
      </c>
      <c r="D709" s="1">
        <v>44607</v>
      </c>
      <c r="E709" s="1">
        <f>SUM(Table1[[#This Row],[Delivery_Date]]-Table1[[#This Row],[Order_Date]])</f>
        <v>18</v>
      </c>
      <c r="F709" t="s">
        <v>21</v>
      </c>
      <c r="G709" t="s">
        <v>18</v>
      </c>
      <c r="H709">
        <v>84</v>
      </c>
      <c r="I709" s="4">
        <v>18.23</v>
      </c>
      <c r="J709" s="4">
        <v>15.55</v>
      </c>
      <c r="K709" s="4">
        <f>Table1[[#This Row],[Quantity]]*Table1[[#This Row],[Negotiated_Price]]</f>
        <v>1306.2</v>
      </c>
      <c r="L709" s="4">
        <f>Table1[[#This Row],[Quantity]]*Table1[[#This Row],[Unit_Price]]</f>
        <v>1531.32</v>
      </c>
      <c r="M709" s="4">
        <f>Table1[[#This Row],[Unit_Price]]-Table1[[#This Row],[Negotiated_Price]]</f>
        <v>2.6799999999999997</v>
      </c>
      <c r="N709" s="3">
        <f>(Table1[[#This Row],[Unit_Price]]-Table1[[#This Row],[Negotiated_Price]])/Table1[[#This Row],[Unit_Price]]</f>
        <v>0.14701042238069115</v>
      </c>
      <c r="O709">
        <v>0</v>
      </c>
      <c r="P709" t="s">
        <v>15</v>
      </c>
      <c r="Q709">
        <f>IF(Table1[[#This Row],[Compliance]]="Yes", 1, 0)</f>
        <v>1</v>
      </c>
    </row>
    <row r="710" spans="1:17" x14ac:dyDescent="0.35">
      <c r="A710" t="s">
        <v>735</v>
      </c>
      <c r="B710" t="s">
        <v>29</v>
      </c>
      <c r="C710" s="1">
        <v>44965</v>
      </c>
      <c r="D710" s="1">
        <v>44977</v>
      </c>
      <c r="E710" s="1">
        <f>SUM(Table1[[#This Row],[Delivery_Date]]-Table1[[#This Row],[Order_Date]])</f>
        <v>12</v>
      </c>
      <c r="F710" t="s">
        <v>24</v>
      </c>
      <c r="G710" t="s">
        <v>18</v>
      </c>
      <c r="H710">
        <v>776</v>
      </c>
      <c r="I710" s="4">
        <v>94.75</v>
      </c>
      <c r="J710" s="4">
        <v>90.89</v>
      </c>
      <c r="K710" s="4">
        <f>Table1[[#This Row],[Quantity]]*Table1[[#This Row],[Negotiated_Price]]</f>
        <v>70530.64</v>
      </c>
      <c r="L710" s="4">
        <f>Table1[[#This Row],[Quantity]]*Table1[[#This Row],[Unit_Price]]</f>
        <v>73526</v>
      </c>
      <c r="M710" s="4">
        <f>Table1[[#This Row],[Unit_Price]]-Table1[[#This Row],[Negotiated_Price]]</f>
        <v>3.8599999999999994</v>
      </c>
      <c r="N710" s="3">
        <f>(Table1[[#This Row],[Unit_Price]]-Table1[[#This Row],[Negotiated_Price]])/Table1[[#This Row],[Unit_Price]]</f>
        <v>4.0738786279683373E-2</v>
      </c>
      <c r="O710">
        <v>19</v>
      </c>
      <c r="P710" t="s">
        <v>15</v>
      </c>
      <c r="Q710">
        <f>IF(Table1[[#This Row],[Compliance]]="Yes", 1, 0)</f>
        <v>1</v>
      </c>
    </row>
    <row r="711" spans="1:17" x14ac:dyDescent="0.35">
      <c r="A711" t="s">
        <v>736</v>
      </c>
      <c r="B711" t="s">
        <v>12</v>
      </c>
      <c r="C711" s="1">
        <v>45168</v>
      </c>
      <c r="D711" s="1">
        <v>45177</v>
      </c>
      <c r="E711" s="1">
        <f>SUM(Table1[[#This Row],[Delivery_Date]]-Table1[[#This Row],[Order_Date]])</f>
        <v>9</v>
      </c>
      <c r="F711" t="s">
        <v>21</v>
      </c>
      <c r="G711" t="s">
        <v>18</v>
      </c>
      <c r="H711">
        <v>898</v>
      </c>
      <c r="I711" s="4">
        <v>37.119999999999997</v>
      </c>
      <c r="J711" s="4">
        <v>35.54</v>
      </c>
      <c r="K711" s="4">
        <f>Table1[[#This Row],[Quantity]]*Table1[[#This Row],[Negotiated_Price]]</f>
        <v>31914.92</v>
      </c>
      <c r="L711" s="4">
        <f>Table1[[#This Row],[Quantity]]*Table1[[#This Row],[Unit_Price]]</f>
        <v>33333.759999999995</v>
      </c>
      <c r="M711" s="4">
        <f>Table1[[#This Row],[Unit_Price]]-Table1[[#This Row],[Negotiated_Price]]</f>
        <v>1.5799999999999983</v>
      </c>
      <c r="N711" s="3">
        <f>(Table1[[#This Row],[Unit_Price]]-Table1[[#This Row],[Negotiated_Price]])/Table1[[#This Row],[Unit_Price]]</f>
        <v>4.256465517241375E-2</v>
      </c>
      <c r="O711">
        <v>18</v>
      </c>
      <c r="P711" t="s">
        <v>27</v>
      </c>
      <c r="Q711">
        <f>IF(Table1[[#This Row],[Compliance]]="Yes", 1, 0)</f>
        <v>0</v>
      </c>
    </row>
    <row r="712" spans="1:17" x14ac:dyDescent="0.35">
      <c r="A712" t="s">
        <v>737</v>
      </c>
      <c r="B712" t="s">
        <v>23</v>
      </c>
      <c r="C712" s="1">
        <v>45139</v>
      </c>
      <c r="D712" s="1">
        <v>45146</v>
      </c>
      <c r="E712" s="1">
        <f>SUM(Table1[[#This Row],[Delivery_Date]]-Table1[[#This Row],[Order_Date]])</f>
        <v>7</v>
      </c>
      <c r="F712" t="s">
        <v>13</v>
      </c>
      <c r="G712" t="s">
        <v>14</v>
      </c>
      <c r="H712">
        <v>139</v>
      </c>
      <c r="I712" s="4">
        <v>23.71</v>
      </c>
      <c r="J712" s="4">
        <v>20.18</v>
      </c>
      <c r="K712" s="4">
        <f>Table1[[#This Row],[Quantity]]*Table1[[#This Row],[Negotiated_Price]]</f>
        <v>2805.02</v>
      </c>
      <c r="L712" s="4">
        <f>Table1[[#This Row],[Quantity]]*Table1[[#This Row],[Unit_Price]]</f>
        <v>3295.69</v>
      </c>
      <c r="M712" s="4">
        <f>Table1[[#This Row],[Unit_Price]]-Table1[[#This Row],[Negotiated_Price]]</f>
        <v>3.5300000000000011</v>
      </c>
      <c r="N712" s="3">
        <f>(Table1[[#This Row],[Unit_Price]]-Table1[[#This Row],[Negotiated_Price]])/Table1[[#This Row],[Unit_Price]]</f>
        <v>0.14888232813159008</v>
      </c>
      <c r="O712">
        <v>14</v>
      </c>
      <c r="P712" t="s">
        <v>15</v>
      </c>
      <c r="Q712">
        <f>IF(Table1[[#This Row],[Compliance]]="Yes", 1, 0)</f>
        <v>1</v>
      </c>
    </row>
    <row r="713" spans="1:17" hidden="1" x14ac:dyDescent="0.35">
      <c r="A713" t="s">
        <v>738</v>
      </c>
      <c r="B713" t="s">
        <v>20</v>
      </c>
      <c r="C713" s="1">
        <v>45240</v>
      </c>
      <c r="E713" s="1">
        <f>SUM(Table1[[#This Row],[Delivery_Date]]-Table1[[#This Row],[Order_Date]])</f>
        <v>-45240</v>
      </c>
      <c r="F713" t="s">
        <v>26</v>
      </c>
      <c r="G713" t="s">
        <v>18</v>
      </c>
      <c r="H713">
        <v>825</v>
      </c>
      <c r="I713">
        <v>99.89</v>
      </c>
      <c r="J713">
        <v>97.65</v>
      </c>
      <c r="K713">
        <f>Table1[[#This Row],[Quantity]]*Table1[[#This Row],[Negotiated_Price]]</f>
        <v>80561.25</v>
      </c>
      <c r="L713" s="5">
        <f>Table1[[#This Row],[Quantity]]*Table1[[#This Row],[Unit_Price]]</f>
        <v>82409.25</v>
      </c>
      <c r="M713">
        <f>Table1[[#This Row],[Unit_Price]]-Table1[[#This Row],[Negotiated_Price]]</f>
        <v>2.2399999999999949</v>
      </c>
      <c r="N713" s="2">
        <f>(Table1[[#This Row],[Unit_Price]]-Table1[[#This Row],[Negotiated_Price]])/Table1[[#This Row],[Unit_Price]]</f>
        <v>2.2424667133847182E-2</v>
      </c>
      <c r="O713">
        <v>30</v>
      </c>
      <c r="P713" t="s">
        <v>15</v>
      </c>
      <c r="Q713">
        <f>IF(Table1[[#This Row],[Compliance]]="Yes", 1, 0)</f>
        <v>1</v>
      </c>
    </row>
    <row r="714" spans="1:17" x14ac:dyDescent="0.35">
      <c r="A714" t="s">
        <v>739</v>
      </c>
      <c r="B714" t="s">
        <v>12</v>
      </c>
      <c r="C714" s="1">
        <v>44589</v>
      </c>
      <c r="D714" s="1">
        <v>44599</v>
      </c>
      <c r="E714" s="1">
        <f>SUM(Table1[[#This Row],[Delivery_Date]]-Table1[[#This Row],[Order_Date]])</f>
        <v>10</v>
      </c>
      <c r="F714" t="s">
        <v>21</v>
      </c>
      <c r="G714" t="s">
        <v>18</v>
      </c>
      <c r="H714">
        <v>654</v>
      </c>
      <c r="I714" s="4">
        <v>96.01</v>
      </c>
      <c r="J714" s="4">
        <v>90.31</v>
      </c>
      <c r="K714" s="4">
        <f>Table1[[#This Row],[Quantity]]*Table1[[#This Row],[Negotiated_Price]]</f>
        <v>59062.74</v>
      </c>
      <c r="L714" s="4">
        <f>Table1[[#This Row],[Quantity]]*Table1[[#This Row],[Unit_Price]]</f>
        <v>62790.54</v>
      </c>
      <c r="M714" s="4">
        <f>Table1[[#This Row],[Unit_Price]]-Table1[[#This Row],[Negotiated_Price]]</f>
        <v>5.7000000000000028</v>
      </c>
      <c r="N714" s="3">
        <f>(Table1[[#This Row],[Unit_Price]]-Table1[[#This Row],[Negotiated_Price]])/Table1[[#This Row],[Unit_Price]]</f>
        <v>5.9368815748359574E-2</v>
      </c>
      <c r="O714">
        <v>10</v>
      </c>
      <c r="P714" t="s">
        <v>15</v>
      </c>
      <c r="Q714">
        <f>IF(Table1[[#This Row],[Compliance]]="Yes", 1, 0)</f>
        <v>1</v>
      </c>
    </row>
    <row r="715" spans="1:17" x14ac:dyDescent="0.35">
      <c r="A715" t="s">
        <v>740</v>
      </c>
      <c r="B715" t="s">
        <v>20</v>
      </c>
      <c r="C715" s="1">
        <v>44647</v>
      </c>
      <c r="D715" s="1">
        <v>44657</v>
      </c>
      <c r="E715" s="1">
        <f>SUM(Table1[[#This Row],[Delivery_Date]]-Table1[[#This Row],[Order_Date]])</f>
        <v>10</v>
      </c>
      <c r="F715" t="s">
        <v>21</v>
      </c>
      <c r="G715" t="s">
        <v>18</v>
      </c>
      <c r="H715">
        <v>1995</v>
      </c>
      <c r="I715" s="4">
        <v>88.47</v>
      </c>
      <c r="J715" s="4">
        <v>82.65</v>
      </c>
      <c r="K715" s="4">
        <f>Table1[[#This Row],[Quantity]]*Table1[[#This Row],[Negotiated_Price]]</f>
        <v>164886.75</v>
      </c>
      <c r="L715" s="4">
        <f>Table1[[#This Row],[Quantity]]*Table1[[#This Row],[Unit_Price]]</f>
        <v>176497.65</v>
      </c>
      <c r="M715" s="4">
        <f>Table1[[#This Row],[Unit_Price]]-Table1[[#This Row],[Negotiated_Price]]</f>
        <v>5.8199999999999932</v>
      </c>
      <c r="N715" s="3">
        <f>(Table1[[#This Row],[Unit_Price]]-Table1[[#This Row],[Negotiated_Price]])/Table1[[#This Row],[Unit_Price]]</f>
        <v>6.5785011868429902E-2</v>
      </c>
      <c r="O715">
        <v>87</v>
      </c>
      <c r="P715" t="s">
        <v>27</v>
      </c>
      <c r="Q715">
        <f>IF(Table1[[#This Row],[Compliance]]="Yes", 1, 0)</f>
        <v>0</v>
      </c>
    </row>
    <row r="716" spans="1:17" x14ac:dyDescent="0.35">
      <c r="A716" t="s">
        <v>741</v>
      </c>
      <c r="B716" t="s">
        <v>23</v>
      </c>
      <c r="C716" s="1">
        <v>45220</v>
      </c>
      <c r="D716" s="1">
        <v>45227</v>
      </c>
      <c r="E716" s="1">
        <f>SUM(Table1[[#This Row],[Delivery_Date]]-Table1[[#This Row],[Order_Date]])</f>
        <v>7</v>
      </c>
      <c r="F716" t="s">
        <v>21</v>
      </c>
      <c r="G716" t="s">
        <v>18</v>
      </c>
      <c r="H716">
        <v>1019</v>
      </c>
      <c r="I716" s="4">
        <v>91.56</v>
      </c>
      <c r="J716" s="4">
        <v>77.930000000000007</v>
      </c>
      <c r="K716" s="4">
        <f>Table1[[#This Row],[Quantity]]*Table1[[#This Row],[Negotiated_Price]]</f>
        <v>79410.670000000013</v>
      </c>
      <c r="L716" s="4">
        <f>Table1[[#This Row],[Quantity]]*Table1[[#This Row],[Unit_Price]]</f>
        <v>93299.64</v>
      </c>
      <c r="M716" s="4">
        <f>Table1[[#This Row],[Unit_Price]]-Table1[[#This Row],[Negotiated_Price]]</f>
        <v>13.629999999999995</v>
      </c>
      <c r="N716" s="3">
        <f>(Table1[[#This Row],[Unit_Price]]-Table1[[#This Row],[Negotiated_Price]])/Table1[[#This Row],[Unit_Price]]</f>
        <v>0.14886413280908689</v>
      </c>
      <c r="O716">
        <v>111</v>
      </c>
      <c r="P716" t="s">
        <v>27</v>
      </c>
      <c r="Q716">
        <f>IF(Table1[[#This Row],[Compliance]]="Yes", 1, 0)</f>
        <v>0</v>
      </c>
    </row>
    <row r="717" spans="1:17" x14ac:dyDescent="0.35">
      <c r="A717" t="s">
        <v>742</v>
      </c>
      <c r="B717" t="s">
        <v>29</v>
      </c>
      <c r="C717" s="1">
        <v>45000</v>
      </c>
      <c r="D717" s="1">
        <v>45016</v>
      </c>
      <c r="E717" s="1">
        <f>SUM(Table1[[#This Row],[Delivery_Date]]-Table1[[#This Row],[Order_Date]])</f>
        <v>16</v>
      </c>
      <c r="F717" t="s">
        <v>24</v>
      </c>
      <c r="G717" t="s">
        <v>35</v>
      </c>
      <c r="H717">
        <v>1675</v>
      </c>
      <c r="I717" s="4">
        <v>73.8</v>
      </c>
      <c r="J717" s="4">
        <v>65.34</v>
      </c>
      <c r="K717" s="4">
        <f>Table1[[#This Row],[Quantity]]*Table1[[#This Row],[Negotiated_Price]]</f>
        <v>109444.5</v>
      </c>
      <c r="L717" s="4">
        <f>Table1[[#This Row],[Quantity]]*Table1[[#This Row],[Unit_Price]]</f>
        <v>123615</v>
      </c>
      <c r="M717" s="4">
        <f>Table1[[#This Row],[Unit_Price]]-Table1[[#This Row],[Negotiated_Price]]</f>
        <v>8.4599999999999937</v>
      </c>
      <c r="N717" s="3">
        <f>(Table1[[#This Row],[Unit_Price]]-Table1[[#This Row],[Negotiated_Price]])/Table1[[#This Row],[Unit_Price]]</f>
        <v>0.11463414634146334</v>
      </c>
      <c r="O717">
        <v>42</v>
      </c>
      <c r="P717" t="s">
        <v>15</v>
      </c>
      <c r="Q717">
        <f>IF(Table1[[#This Row],[Compliance]]="Yes", 1, 0)</f>
        <v>1</v>
      </c>
    </row>
    <row r="718" spans="1:17" x14ac:dyDescent="0.35">
      <c r="A718" t="s">
        <v>743</v>
      </c>
      <c r="B718" t="s">
        <v>20</v>
      </c>
      <c r="C718" s="1">
        <v>44700</v>
      </c>
      <c r="D718" s="1">
        <v>44712</v>
      </c>
      <c r="E718" s="1">
        <f>SUM(Table1[[#This Row],[Delivery_Date]]-Table1[[#This Row],[Order_Date]])</f>
        <v>12</v>
      </c>
      <c r="F718" t="s">
        <v>26</v>
      </c>
      <c r="G718" t="s">
        <v>35</v>
      </c>
      <c r="H718">
        <v>1071</v>
      </c>
      <c r="I718" s="4">
        <v>60.77</v>
      </c>
      <c r="J718" s="4">
        <v>58.5</v>
      </c>
      <c r="K718" s="4">
        <f>Table1[[#This Row],[Quantity]]*Table1[[#This Row],[Negotiated_Price]]</f>
        <v>62653.5</v>
      </c>
      <c r="L718" s="4">
        <f>Table1[[#This Row],[Quantity]]*Table1[[#This Row],[Unit_Price]]</f>
        <v>65084.670000000006</v>
      </c>
      <c r="M718" s="4">
        <f>Table1[[#This Row],[Unit_Price]]-Table1[[#This Row],[Negotiated_Price]]</f>
        <v>2.2700000000000031</v>
      </c>
      <c r="N718" s="3">
        <f>(Table1[[#This Row],[Unit_Price]]-Table1[[#This Row],[Negotiated_Price]])/Table1[[#This Row],[Unit_Price]]</f>
        <v>3.7353957544841256E-2</v>
      </c>
      <c r="P718" t="s">
        <v>15</v>
      </c>
      <c r="Q718">
        <f>IF(Table1[[#This Row],[Compliance]]="Yes", 1, 0)</f>
        <v>1</v>
      </c>
    </row>
    <row r="719" spans="1:17" x14ac:dyDescent="0.35">
      <c r="A719" t="s">
        <v>744</v>
      </c>
      <c r="B719" t="s">
        <v>23</v>
      </c>
      <c r="C719" s="1">
        <v>45034</v>
      </c>
      <c r="D719" s="1">
        <v>45043</v>
      </c>
      <c r="E719" s="1">
        <f>SUM(Table1[[#This Row],[Delivery_Date]]-Table1[[#This Row],[Order_Date]])</f>
        <v>9</v>
      </c>
      <c r="F719" t="s">
        <v>13</v>
      </c>
      <c r="G719" t="s">
        <v>18</v>
      </c>
      <c r="H719">
        <v>467</v>
      </c>
      <c r="I719" s="4">
        <v>19.170000000000002</v>
      </c>
      <c r="J719" s="4">
        <v>17.11</v>
      </c>
      <c r="K719" s="4">
        <f>Table1[[#This Row],[Quantity]]*Table1[[#This Row],[Negotiated_Price]]</f>
        <v>7990.37</v>
      </c>
      <c r="L719" s="4">
        <f>Table1[[#This Row],[Quantity]]*Table1[[#This Row],[Unit_Price]]</f>
        <v>8952.3900000000012</v>
      </c>
      <c r="M719" s="4">
        <f>Table1[[#This Row],[Unit_Price]]-Table1[[#This Row],[Negotiated_Price]]</f>
        <v>2.0600000000000023</v>
      </c>
      <c r="N719" s="3">
        <f>(Table1[[#This Row],[Unit_Price]]-Table1[[#This Row],[Negotiated_Price]])/Table1[[#This Row],[Unit_Price]]</f>
        <v>0.10745957224830475</v>
      </c>
      <c r="O719">
        <v>49</v>
      </c>
      <c r="P719" t="s">
        <v>15</v>
      </c>
      <c r="Q719">
        <f>IF(Table1[[#This Row],[Compliance]]="Yes", 1, 0)</f>
        <v>1</v>
      </c>
    </row>
    <row r="720" spans="1:17" x14ac:dyDescent="0.35">
      <c r="A720" t="s">
        <v>745</v>
      </c>
      <c r="B720" t="s">
        <v>17</v>
      </c>
      <c r="C720" s="1">
        <v>44748</v>
      </c>
      <c r="D720" s="1">
        <v>44767</v>
      </c>
      <c r="E720" s="1">
        <f>SUM(Table1[[#This Row],[Delivery_Date]]-Table1[[#This Row],[Order_Date]])</f>
        <v>19</v>
      </c>
      <c r="F720" t="s">
        <v>21</v>
      </c>
      <c r="G720" t="s">
        <v>35</v>
      </c>
      <c r="H720">
        <v>164</v>
      </c>
      <c r="I720" s="4">
        <v>48.16</v>
      </c>
      <c r="J720" s="4">
        <v>47.46</v>
      </c>
      <c r="K720" s="4">
        <f>Table1[[#This Row],[Quantity]]*Table1[[#This Row],[Negotiated_Price]]</f>
        <v>7783.4400000000005</v>
      </c>
      <c r="L720" s="4">
        <f>Table1[[#This Row],[Quantity]]*Table1[[#This Row],[Unit_Price]]</f>
        <v>7898.24</v>
      </c>
      <c r="M720" s="4">
        <f>Table1[[#This Row],[Unit_Price]]-Table1[[#This Row],[Negotiated_Price]]</f>
        <v>0.69999999999999574</v>
      </c>
      <c r="N720" s="3">
        <f>(Table1[[#This Row],[Unit_Price]]-Table1[[#This Row],[Negotiated_Price]])/Table1[[#This Row],[Unit_Price]]</f>
        <v>1.4534883720930146E-2</v>
      </c>
      <c r="O720">
        <v>27</v>
      </c>
      <c r="P720" t="s">
        <v>15</v>
      </c>
      <c r="Q720">
        <f>IF(Table1[[#This Row],[Compliance]]="Yes", 1, 0)</f>
        <v>1</v>
      </c>
    </row>
    <row r="721" spans="1:17" x14ac:dyDescent="0.35">
      <c r="A721" t="s">
        <v>746</v>
      </c>
      <c r="B721" t="s">
        <v>29</v>
      </c>
      <c r="C721" s="1">
        <v>44613</v>
      </c>
      <c r="D721" s="1">
        <v>44626</v>
      </c>
      <c r="E721" s="1">
        <f>SUM(Table1[[#This Row],[Delivery_Date]]-Table1[[#This Row],[Order_Date]])</f>
        <v>13</v>
      </c>
      <c r="F721" t="s">
        <v>39</v>
      </c>
      <c r="G721" t="s">
        <v>14</v>
      </c>
      <c r="H721">
        <v>666</v>
      </c>
      <c r="I721" s="4">
        <v>43.76</v>
      </c>
      <c r="J721" s="4">
        <v>41.13</v>
      </c>
      <c r="K721" s="4">
        <f>Table1[[#This Row],[Quantity]]*Table1[[#This Row],[Negotiated_Price]]</f>
        <v>27392.58</v>
      </c>
      <c r="L721" s="4">
        <f>Table1[[#This Row],[Quantity]]*Table1[[#This Row],[Unit_Price]]</f>
        <v>29144.16</v>
      </c>
      <c r="M721" s="4">
        <f>Table1[[#This Row],[Unit_Price]]-Table1[[#This Row],[Negotiated_Price]]</f>
        <v>2.6299999999999955</v>
      </c>
      <c r="N721" s="3">
        <f>(Table1[[#This Row],[Unit_Price]]-Table1[[#This Row],[Negotiated_Price]])/Table1[[#This Row],[Unit_Price]]</f>
        <v>6.0100548446069366E-2</v>
      </c>
      <c r="O721">
        <v>18</v>
      </c>
      <c r="P721" t="s">
        <v>15</v>
      </c>
      <c r="Q721">
        <f>IF(Table1[[#This Row],[Compliance]]="Yes", 1, 0)</f>
        <v>1</v>
      </c>
    </row>
    <row r="722" spans="1:17" x14ac:dyDescent="0.35">
      <c r="A722" t="s">
        <v>747</v>
      </c>
      <c r="B722" t="s">
        <v>17</v>
      </c>
      <c r="C722" s="1">
        <v>44828</v>
      </c>
      <c r="D722" s="1">
        <v>44841</v>
      </c>
      <c r="E722" s="1">
        <f>SUM(Table1[[#This Row],[Delivery_Date]]-Table1[[#This Row],[Order_Date]])</f>
        <v>13</v>
      </c>
      <c r="F722" t="s">
        <v>24</v>
      </c>
      <c r="G722" t="s">
        <v>33</v>
      </c>
      <c r="H722">
        <v>1976</v>
      </c>
      <c r="I722" s="4">
        <v>34.71</v>
      </c>
      <c r="J722" s="4">
        <v>31.56</v>
      </c>
      <c r="K722" s="4">
        <f>Table1[[#This Row],[Quantity]]*Table1[[#This Row],[Negotiated_Price]]</f>
        <v>62362.559999999998</v>
      </c>
      <c r="L722" s="4">
        <f>Table1[[#This Row],[Quantity]]*Table1[[#This Row],[Unit_Price]]</f>
        <v>68586.960000000006</v>
      </c>
      <c r="M722" s="4">
        <f>Table1[[#This Row],[Unit_Price]]-Table1[[#This Row],[Negotiated_Price]]</f>
        <v>3.1500000000000021</v>
      </c>
      <c r="N722" s="3">
        <f>(Table1[[#This Row],[Unit_Price]]-Table1[[#This Row],[Negotiated_Price]])/Table1[[#This Row],[Unit_Price]]</f>
        <v>9.0751944684529018E-2</v>
      </c>
      <c r="O722">
        <v>286</v>
      </c>
      <c r="P722" t="s">
        <v>27</v>
      </c>
      <c r="Q722">
        <f>IF(Table1[[#This Row],[Compliance]]="Yes", 1, 0)</f>
        <v>0</v>
      </c>
    </row>
    <row r="723" spans="1:17" x14ac:dyDescent="0.35">
      <c r="A723" t="s">
        <v>748</v>
      </c>
      <c r="B723" t="s">
        <v>29</v>
      </c>
      <c r="C723" s="1">
        <v>44950</v>
      </c>
      <c r="D723" s="1">
        <v>44955</v>
      </c>
      <c r="E723" s="1">
        <f>SUM(Table1[[#This Row],[Delivery_Date]]-Table1[[#This Row],[Order_Date]])</f>
        <v>5</v>
      </c>
      <c r="F723" t="s">
        <v>21</v>
      </c>
      <c r="G723" t="s">
        <v>18</v>
      </c>
      <c r="H723">
        <v>1269</v>
      </c>
      <c r="I723" s="4">
        <v>79.61</v>
      </c>
      <c r="J723" s="4">
        <v>71.86</v>
      </c>
      <c r="K723" s="4">
        <f>Table1[[#This Row],[Quantity]]*Table1[[#This Row],[Negotiated_Price]]</f>
        <v>91190.34</v>
      </c>
      <c r="L723" s="4">
        <f>Table1[[#This Row],[Quantity]]*Table1[[#This Row],[Unit_Price]]</f>
        <v>101025.09</v>
      </c>
      <c r="M723" s="4">
        <f>Table1[[#This Row],[Unit_Price]]-Table1[[#This Row],[Negotiated_Price]]</f>
        <v>7.75</v>
      </c>
      <c r="N723" s="3">
        <f>(Table1[[#This Row],[Unit_Price]]-Table1[[#This Row],[Negotiated_Price]])/Table1[[#This Row],[Unit_Price]]</f>
        <v>9.7349579198593147E-2</v>
      </c>
      <c r="O723">
        <v>47</v>
      </c>
      <c r="P723" t="s">
        <v>15</v>
      </c>
      <c r="Q723">
        <f>IF(Table1[[#This Row],[Compliance]]="Yes", 1, 0)</f>
        <v>1</v>
      </c>
    </row>
    <row r="724" spans="1:17" x14ac:dyDescent="0.35">
      <c r="A724" t="s">
        <v>749</v>
      </c>
      <c r="B724" t="s">
        <v>29</v>
      </c>
      <c r="C724" s="1">
        <v>44897</v>
      </c>
      <c r="D724" s="1">
        <v>44907</v>
      </c>
      <c r="E724" s="1">
        <f>SUM(Table1[[#This Row],[Delivery_Date]]-Table1[[#This Row],[Order_Date]])</f>
        <v>10</v>
      </c>
      <c r="F724" t="s">
        <v>21</v>
      </c>
      <c r="G724" t="s">
        <v>18</v>
      </c>
      <c r="H724">
        <v>875</v>
      </c>
      <c r="I724" s="4">
        <v>57.63</v>
      </c>
      <c r="J724" s="4">
        <v>51.8</v>
      </c>
      <c r="K724" s="4">
        <f>Table1[[#This Row],[Quantity]]*Table1[[#This Row],[Negotiated_Price]]</f>
        <v>45325</v>
      </c>
      <c r="L724" s="4">
        <f>Table1[[#This Row],[Quantity]]*Table1[[#This Row],[Unit_Price]]</f>
        <v>50426.25</v>
      </c>
      <c r="M724" s="4">
        <f>Table1[[#This Row],[Unit_Price]]-Table1[[#This Row],[Negotiated_Price]]</f>
        <v>5.8300000000000054</v>
      </c>
      <c r="N724" s="3">
        <f>(Table1[[#This Row],[Unit_Price]]-Table1[[#This Row],[Negotiated_Price]])/Table1[[#This Row],[Unit_Price]]</f>
        <v>0.10116258892937716</v>
      </c>
      <c r="O724">
        <v>16</v>
      </c>
      <c r="P724" t="s">
        <v>15</v>
      </c>
      <c r="Q724">
        <f>IF(Table1[[#This Row],[Compliance]]="Yes", 1, 0)</f>
        <v>1</v>
      </c>
    </row>
    <row r="725" spans="1:17" hidden="1" x14ac:dyDescent="0.35">
      <c r="A725" t="s">
        <v>750</v>
      </c>
      <c r="B725" t="s">
        <v>12</v>
      </c>
      <c r="C725" s="1">
        <v>44778</v>
      </c>
      <c r="E725" s="1">
        <f>SUM(Table1[[#This Row],[Delivery_Date]]-Table1[[#This Row],[Order_Date]])</f>
        <v>-44778</v>
      </c>
      <c r="F725" t="s">
        <v>24</v>
      </c>
      <c r="G725" t="s">
        <v>33</v>
      </c>
      <c r="H725">
        <v>1574</v>
      </c>
      <c r="I725">
        <v>17.899999999999999</v>
      </c>
      <c r="J725">
        <v>15.85</v>
      </c>
      <c r="K725">
        <f>Table1[[#This Row],[Quantity]]*Table1[[#This Row],[Negotiated_Price]]</f>
        <v>24947.899999999998</v>
      </c>
      <c r="L725" s="5">
        <f>Table1[[#This Row],[Quantity]]*Table1[[#This Row],[Unit_Price]]</f>
        <v>28174.6</v>
      </c>
      <c r="M725">
        <f>Table1[[#This Row],[Unit_Price]]-Table1[[#This Row],[Negotiated_Price]]</f>
        <v>2.0499999999999989</v>
      </c>
      <c r="N725" s="2">
        <f>(Table1[[#This Row],[Unit_Price]]-Table1[[#This Row],[Negotiated_Price]])/Table1[[#This Row],[Unit_Price]]</f>
        <v>0.11452513966480442</v>
      </c>
      <c r="O725">
        <v>31</v>
      </c>
      <c r="P725" t="s">
        <v>15</v>
      </c>
      <c r="Q725">
        <f>IF(Table1[[#This Row],[Compliance]]="Yes", 1, 0)</f>
        <v>1</v>
      </c>
    </row>
    <row r="726" spans="1:17" x14ac:dyDescent="0.35">
      <c r="A726" t="s">
        <v>751</v>
      </c>
      <c r="B726" t="s">
        <v>29</v>
      </c>
      <c r="C726" s="1">
        <v>45027</v>
      </c>
      <c r="D726" s="1">
        <v>45042</v>
      </c>
      <c r="E726" s="1">
        <f>SUM(Table1[[#This Row],[Delivery_Date]]-Table1[[#This Row],[Order_Date]])</f>
        <v>15</v>
      </c>
      <c r="F726" t="s">
        <v>13</v>
      </c>
      <c r="G726" t="s">
        <v>33</v>
      </c>
      <c r="H726">
        <v>1699</v>
      </c>
      <c r="I726" s="4">
        <v>32.049999999999997</v>
      </c>
      <c r="J726" s="4">
        <v>29.34</v>
      </c>
      <c r="K726" s="4">
        <f>Table1[[#This Row],[Quantity]]*Table1[[#This Row],[Negotiated_Price]]</f>
        <v>49848.659999999996</v>
      </c>
      <c r="L726" s="4">
        <f>Table1[[#This Row],[Quantity]]*Table1[[#This Row],[Unit_Price]]</f>
        <v>54452.95</v>
      </c>
      <c r="M726" s="4">
        <f>Table1[[#This Row],[Unit_Price]]-Table1[[#This Row],[Negotiated_Price]]</f>
        <v>2.7099999999999973</v>
      </c>
      <c r="N726" s="3">
        <f>(Table1[[#This Row],[Unit_Price]]-Table1[[#This Row],[Negotiated_Price]])/Table1[[#This Row],[Unit_Price]]</f>
        <v>8.4555382215288535E-2</v>
      </c>
      <c r="O726">
        <v>69</v>
      </c>
      <c r="P726" t="s">
        <v>15</v>
      </c>
      <c r="Q726">
        <f>IF(Table1[[#This Row],[Compliance]]="Yes", 1, 0)</f>
        <v>1</v>
      </c>
    </row>
    <row r="727" spans="1:17" x14ac:dyDescent="0.35">
      <c r="A727" t="s">
        <v>752</v>
      </c>
      <c r="B727" t="s">
        <v>12</v>
      </c>
      <c r="C727" s="1">
        <v>44896</v>
      </c>
      <c r="D727" s="1">
        <v>44912</v>
      </c>
      <c r="E727" s="1">
        <f>SUM(Table1[[#This Row],[Delivery_Date]]-Table1[[#This Row],[Order_Date]])</f>
        <v>16</v>
      </c>
      <c r="F727" t="s">
        <v>39</v>
      </c>
      <c r="G727" t="s">
        <v>18</v>
      </c>
      <c r="H727">
        <v>1566</v>
      </c>
      <c r="I727" s="4">
        <v>75.430000000000007</v>
      </c>
      <c r="J727" s="4">
        <v>71.27</v>
      </c>
      <c r="K727" s="4">
        <f>Table1[[#This Row],[Quantity]]*Table1[[#This Row],[Negotiated_Price]]</f>
        <v>111608.81999999999</v>
      </c>
      <c r="L727" s="4">
        <f>Table1[[#This Row],[Quantity]]*Table1[[#This Row],[Unit_Price]]</f>
        <v>118123.38</v>
      </c>
      <c r="M727" s="4">
        <f>Table1[[#This Row],[Unit_Price]]-Table1[[#This Row],[Negotiated_Price]]</f>
        <v>4.1600000000000108</v>
      </c>
      <c r="N727" s="3">
        <f>(Table1[[#This Row],[Unit_Price]]-Table1[[#This Row],[Negotiated_Price]])/Table1[[#This Row],[Unit_Price]]</f>
        <v>5.515047063502599E-2</v>
      </c>
      <c r="O727">
        <v>27</v>
      </c>
      <c r="P727" t="s">
        <v>15</v>
      </c>
      <c r="Q727">
        <f>IF(Table1[[#This Row],[Compliance]]="Yes", 1, 0)</f>
        <v>1</v>
      </c>
    </row>
    <row r="728" spans="1:17" x14ac:dyDescent="0.35">
      <c r="A728" t="s">
        <v>753</v>
      </c>
      <c r="B728" t="s">
        <v>20</v>
      </c>
      <c r="C728" s="1">
        <v>44907</v>
      </c>
      <c r="D728" s="1">
        <v>44925</v>
      </c>
      <c r="E728" s="1">
        <f>SUM(Table1[[#This Row],[Delivery_Date]]-Table1[[#This Row],[Order_Date]])</f>
        <v>18</v>
      </c>
      <c r="F728" t="s">
        <v>39</v>
      </c>
      <c r="G728" t="s">
        <v>18</v>
      </c>
      <c r="H728">
        <v>1148</v>
      </c>
      <c r="I728" s="4">
        <v>17.78</v>
      </c>
      <c r="J728" s="4">
        <v>17.16</v>
      </c>
      <c r="K728" s="4">
        <f>Table1[[#This Row],[Quantity]]*Table1[[#This Row],[Negotiated_Price]]</f>
        <v>19699.68</v>
      </c>
      <c r="L728" s="4">
        <f>Table1[[#This Row],[Quantity]]*Table1[[#This Row],[Unit_Price]]</f>
        <v>20411.440000000002</v>
      </c>
      <c r="M728" s="4">
        <f>Table1[[#This Row],[Unit_Price]]-Table1[[#This Row],[Negotiated_Price]]</f>
        <v>0.62000000000000099</v>
      </c>
      <c r="N728" s="3">
        <f>(Table1[[#This Row],[Unit_Price]]-Table1[[#This Row],[Negotiated_Price]])/Table1[[#This Row],[Unit_Price]]</f>
        <v>3.4870641169853819E-2</v>
      </c>
      <c r="O728">
        <v>61</v>
      </c>
      <c r="P728" t="s">
        <v>15</v>
      </c>
      <c r="Q728">
        <f>IF(Table1[[#This Row],[Compliance]]="Yes", 1, 0)</f>
        <v>1</v>
      </c>
    </row>
    <row r="729" spans="1:17" x14ac:dyDescent="0.35">
      <c r="A729" t="s">
        <v>754</v>
      </c>
      <c r="B729" t="s">
        <v>29</v>
      </c>
      <c r="C729" s="1">
        <v>44950</v>
      </c>
      <c r="D729" s="1">
        <v>44968</v>
      </c>
      <c r="E729" s="1">
        <f>SUM(Table1[[#This Row],[Delivery_Date]]-Table1[[#This Row],[Order_Date]])</f>
        <v>18</v>
      </c>
      <c r="F729" t="s">
        <v>13</v>
      </c>
      <c r="G729" t="s">
        <v>18</v>
      </c>
      <c r="H729">
        <v>462</v>
      </c>
      <c r="I729" s="4">
        <v>91.81</v>
      </c>
      <c r="J729" s="4">
        <v>83.14</v>
      </c>
      <c r="K729" s="4">
        <f>Table1[[#This Row],[Quantity]]*Table1[[#This Row],[Negotiated_Price]]</f>
        <v>38410.68</v>
      </c>
      <c r="L729" s="4">
        <f>Table1[[#This Row],[Quantity]]*Table1[[#This Row],[Unit_Price]]</f>
        <v>42416.22</v>
      </c>
      <c r="M729" s="4">
        <f>Table1[[#This Row],[Unit_Price]]-Table1[[#This Row],[Negotiated_Price]]</f>
        <v>8.6700000000000017</v>
      </c>
      <c r="N729" s="3">
        <f>(Table1[[#This Row],[Unit_Price]]-Table1[[#This Row],[Negotiated_Price]])/Table1[[#This Row],[Unit_Price]]</f>
        <v>9.4434157499183116E-2</v>
      </c>
      <c r="O729">
        <v>11</v>
      </c>
      <c r="P729" t="s">
        <v>15</v>
      </c>
      <c r="Q729">
        <f>IF(Table1[[#This Row],[Compliance]]="Yes", 1, 0)</f>
        <v>1</v>
      </c>
    </row>
    <row r="730" spans="1:17" x14ac:dyDescent="0.35">
      <c r="A730" t="s">
        <v>755</v>
      </c>
      <c r="B730" t="s">
        <v>20</v>
      </c>
      <c r="C730" s="1">
        <v>44846</v>
      </c>
      <c r="D730" s="1">
        <v>44851</v>
      </c>
      <c r="E730" s="1">
        <f>SUM(Table1[[#This Row],[Delivery_Date]]-Table1[[#This Row],[Order_Date]])</f>
        <v>5</v>
      </c>
      <c r="F730" t="s">
        <v>24</v>
      </c>
      <c r="G730" t="s">
        <v>18</v>
      </c>
      <c r="H730">
        <v>1449</v>
      </c>
      <c r="I730" s="4">
        <v>57.02</v>
      </c>
      <c r="J730" s="4">
        <v>49.28</v>
      </c>
      <c r="K730" s="4">
        <f>Table1[[#This Row],[Quantity]]*Table1[[#This Row],[Negotiated_Price]]</f>
        <v>71406.720000000001</v>
      </c>
      <c r="L730" s="4">
        <f>Table1[[#This Row],[Quantity]]*Table1[[#This Row],[Unit_Price]]</f>
        <v>82621.98000000001</v>
      </c>
      <c r="M730" s="4">
        <f>Table1[[#This Row],[Unit_Price]]-Table1[[#This Row],[Negotiated_Price]]</f>
        <v>7.740000000000002</v>
      </c>
      <c r="N730" s="3">
        <f>(Table1[[#This Row],[Unit_Price]]-Table1[[#This Row],[Negotiated_Price]])/Table1[[#This Row],[Unit_Price]]</f>
        <v>0.13574184496667838</v>
      </c>
      <c r="O730">
        <v>71</v>
      </c>
      <c r="P730" t="s">
        <v>15</v>
      </c>
      <c r="Q730">
        <f>IF(Table1[[#This Row],[Compliance]]="Yes", 1, 0)</f>
        <v>1</v>
      </c>
    </row>
    <row r="731" spans="1:17" x14ac:dyDescent="0.35">
      <c r="A731" t="s">
        <v>756</v>
      </c>
      <c r="B731" t="s">
        <v>29</v>
      </c>
      <c r="C731" s="1">
        <v>44993</v>
      </c>
      <c r="D731" s="1">
        <v>45012</v>
      </c>
      <c r="E731" s="1">
        <f>SUM(Table1[[#This Row],[Delivery_Date]]-Table1[[#This Row],[Order_Date]])</f>
        <v>19</v>
      </c>
      <c r="F731" t="s">
        <v>21</v>
      </c>
      <c r="G731" t="s">
        <v>18</v>
      </c>
      <c r="H731">
        <v>1493</v>
      </c>
      <c r="I731" s="4">
        <v>56.98</v>
      </c>
      <c r="J731" s="4">
        <v>52.51</v>
      </c>
      <c r="K731" s="4">
        <f>Table1[[#This Row],[Quantity]]*Table1[[#This Row],[Negotiated_Price]]</f>
        <v>78397.429999999993</v>
      </c>
      <c r="L731" s="4">
        <f>Table1[[#This Row],[Quantity]]*Table1[[#This Row],[Unit_Price]]</f>
        <v>85071.14</v>
      </c>
      <c r="M731" s="4">
        <f>Table1[[#This Row],[Unit_Price]]-Table1[[#This Row],[Negotiated_Price]]</f>
        <v>4.4699999999999989</v>
      </c>
      <c r="N731" s="3">
        <f>(Table1[[#This Row],[Unit_Price]]-Table1[[#This Row],[Negotiated_Price]])/Table1[[#This Row],[Unit_Price]]</f>
        <v>7.8448578448578429E-2</v>
      </c>
      <c r="O731">
        <v>43</v>
      </c>
      <c r="P731" t="s">
        <v>15</v>
      </c>
      <c r="Q731">
        <f>IF(Table1[[#This Row],[Compliance]]="Yes", 1, 0)</f>
        <v>1</v>
      </c>
    </row>
    <row r="732" spans="1:17" x14ac:dyDescent="0.35">
      <c r="A732" t="s">
        <v>757</v>
      </c>
      <c r="B732" t="s">
        <v>12</v>
      </c>
      <c r="C732" s="1">
        <v>44820</v>
      </c>
      <c r="D732" s="1">
        <v>44822</v>
      </c>
      <c r="E732" s="1">
        <f>SUM(Table1[[#This Row],[Delivery_Date]]-Table1[[#This Row],[Order_Date]])</f>
        <v>2</v>
      </c>
      <c r="F732" t="s">
        <v>13</v>
      </c>
      <c r="G732" t="s">
        <v>18</v>
      </c>
      <c r="H732">
        <v>778</v>
      </c>
      <c r="I732" s="4">
        <v>65.849999999999994</v>
      </c>
      <c r="J732" s="4">
        <v>62.08</v>
      </c>
      <c r="K732" s="4">
        <f>Table1[[#This Row],[Quantity]]*Table1[[#This Row],[Negotiated_Price]]</f>
        <v>48298.239999999998</v>
      </c>
      <c r="L732" s="4">
        <f>Table1[[#This Row],[Quantity]]*Table1[[#This Row],[Unit_Price]]</f>
        <v>51231.299999999996</v>
      </c>
      <c r="M732" s="4">
        <f>Table1[[#This Row],[Unit_Price]]-Table1[[#This Row],[Negotiated_Price]]</f>
        <v>3.769999999999996</v>
      </c>
      <c r="N732" s="3">
        <f>(Table1[[#This Row],[Unit_Price]]-Table1[[#This Row],[Negotiated_Price]])/Table1[[#This Row],[Unit_Price]]</f>
        <v>5.7251328777524625E-2</v>
      </c>
      <c r="P732" t="s">
        <v>27</v>
      </c>
      <c r="Q732">
        <f>IF(Table1[[#This Row],[Compliance]]="Yes", 1, 0)</f>
        <v>0</v>
      </c>
    </row>
    <row r="733" spans="1:17" x14ac:dyDescent="0.35">
      <c r="A733" t="s">
        <v>758</v>
      </c>
      <c r="B733" t="s">
        <v>17</v>
      </c>
      <c r="C733" s="1">
        <v>44645</v>
      </c>
      <c r="D733" s="1">
        <v>44662</v>
      </c>
      <c r="E733" s="1">
        <f>SUM(Table1[[#This Row],[Delivery_Date]]-Table1[[#This Row],[Order_Date]])</f>
        <v>17</v>
      </c>
      <c r="F733" t="s">
        <v>24</v>
      </c>
      <c r="G733" t="s">
        <v>33</v>
      </c>
      <c r="H733">
        <v>1350</v>
      </c>
      <c r="I733" s="4">
        <v>85.06</v>
      </c>
      <c r="J733" s="4">
        <v>82.34</v>
      </c>
      <c r="K733" s="4">
        <f>Table1[[#This Row],[Quantity]]*Table1[[#This Row],[Negotiated_Price]]</f>
        <v>111159</v>
      </c>
      <c r="L733" s="4">
        <f>Table1[[#This Row],[Quantity]]*Table1[[#This Row],[Unit_Price]]</f>
        <v>114831</v>
      </c>
      <c r="M733" s="4">
        <f>Table1[[#This Row],[Unit_Price]]-Table1[[#This Row],[Negotiated_Price]]</f>
        <v>2.7199999999999989</v>
      </c>
      <c r="N733" s="3">
        <f>(Table1[[#This Row],[Unit_Price]]-Table1[[#This Row],[Negotiated_Price]])/Table1[[#This Row],[Unit_Price]]</f>
        <v>3.1977427698095445E-2</v>
      </c>
      <c r="P733" t="s">
        <v>27</v>
      </c>
      <c r="Q733">
        <f>IF(Table1[[#This Row],[Compliance]]="Yes", 1, 0)</f>
        <v>0</v>
      </c>
    </row>
    <row r="734" spans="1:17" x14ac:dyDescent="0.35">
      <c r="A734" t="s">
        <v>759</v>
      </c>
      <c r="B734" t="s">
        <v>29</v>
      </c>
      <c r="C734" s="1">
        <v>45043</v>
      </c>
      <c r="D734" s="1">
        <v>45051</v>
      </c>
      <c r="E734" s="1">
        <f>SUM(Table1[[#This Row],[Delivery_Date]]-Table1[[#This Row],[Order_Date]])</f>
        <v>8</v>
      </c>
      <c r="F734" t="s">
        <v>24</v>
      </c>
      <c r="G734" t="s">
        <v>18</v>
      </c>
      <c r="H734">
        <v>1070</v>
      </c>
      <c r="I734" s="4">
        <v>44.4</v>
      </c>
      <c r="J734" s="4">
        <v>40.07</v>
      </c>
      <c r="K734" s="4">
        <f>Table1[[#This Row],[Quantity]]*Table1[[#This Row],[Negotiated_Price]]</f>
        <v>42874.9</v>
      </c>
      <c r="L734" s="4">
        <f>Table1[[#This Row],[Quantity]]*Table1[[#This Row],[Unit_Price]]</f>
        <v>47508</v>
      </c>
      <c r="M734" s="4">
        <f>Table1[[#This Row],[Unit_Price]]-Table1[[#This Row],[Negotiated_Price]]</f>
        <v>4.3299999999999983</v>
      </c>
      <c r="N734" s="3">
        <f>(Table1[[#This Row],[Unit_Price]]-Table1[[#This Row],[Negotiated_Price]])/Table1[[#This Row],[Unit_Price]]</f>
        <v>9.7522522522522484E-2</v>
      </c>
      <c r="O734">
        <v>26</v>
      </c>
      <c r="P734" t="s">
        <v>15</v>
      </c>
      <c r="Q734">
        <f>IF(Table1[[#This Row],[Compliance]]="Yes", 1, 0)</f>
        <v>1</v>
      </c>
    </row>
    <row r="735" spans="1:17" x14ac:dyDescent="0.35">
      <c r="A735" t="s">
        <v>760</v>
      </c>
      <c r="B735" t="s">
        <v>23</v>
      </c>
      <c r="C735" s="1">
        <v>44581</v>
      </c>
      <c r="D735" s="1">
        <v>44595</v>
      </c>
      <c r="E735" s="1">
        <f>SUM(Table1[[#This Row],[Delivery_Date]]-Table1[[#This Row],[Order_Date]])</f>
        <v>14</v>
      </c>
      <c r="F735" t="s">
        <v>24</v>
      </c>
      <c r="G735" t="s">
        <v>35</v>
      </c>
      <c r="H735">
        <v>810</v>
      </c>
      <c r="I735" s="4">
        <v>71.02</v>
      </c>
      <c r="J735" s="4">
        <v>66.8</v>
      </c>
      <c r="K735" s="4">
        <f>Table1[[#This Row],[Quantity]]*Table1[[#This Row],[Negotiated_Price]]</f>
        <v>54108</v>
      </c>
      <c r="L735" s="4">
        <f>Table1[[#This Row],[Quantity]]*Table1[[#This Row],[Unit_Price]]</f>
        <v>57526.2</v>
      </c>
      <c r="M735" s="4">
        <f>Table1[[#This Row],[Unit_Price]]-Table1[[#This Row],[Negotiated_Price]]</f>
        <v>4.2199999999999989</v>
      </c>
      <c r="N735" s="3">
        <f>(Table1[[#This Row],[Unit_Price]]-Table1[[#This Row],[Negotiated_Price]])/Table1[[#This Row],[Unit_Price]]</f>
        <v>5.9419881723458169E-2</v>
      </c>
      <c r="O735">
        <v>73</v>
      </c>
      <c r="P735" t="s">
        <v>15</v>
      </c>
      <c r="Q735">
        <f>IF(Table1[[#This Row],[Compliance]]="Yes", 1, 0)</f>
        <v>1</v>
      </c>
    </row>
    <row r="736" spans="1:17" x14ac:dyDescent="0.35">
      <c r="A736" t="s">
        <v>761</v>
      </c>
      <c r="B736" t="s">
        <v>17</v>
      </c>
      <c r="C736" s="1">
        <v>45114</v>
      </c>
      <c r="D736" s="1">
        <v>45130</v>
      </c>
      <c r="E736" s="1">
        <f>SUM(Table1[[#This Row],[Delivery_Date]]-Table1[[#This Row],[Order_Date]])</f>
        <v>16</v>
      </c>
      <c r="F736" t="s">
        <v>24</v>
      </c>
      <c r="G736" t="s">
        <v>14</v>
      </c>
      <c r="H736">
        <v>725</v>
      </c>
      <c r="I736" s="4">
        <v>66.400000000000006</v>
      </c>
      <c r="J736" s="4">
        <v>62.1</v>
      </c>
      <c r="K736" s="4">
        <f>Table1[[#This Row],[Quantity]]*Table1[[#This Row],[Negotiated_Price]]</f>
        <v>45022.5</v>
      </c>
      <c r="L736" s="4">
        <f>Table1[[#This Row],[Quantity]]*Table1[[#This Row],[Unit_Price]]</f>
        <v>48140.000000000007</v>
      </c>
      <c r="M736" s="4">
        <f>Table1[[#This Row],[Unit_Price]]-Table1[[#This Row],[Negotiated_Price]]</f>
        <v>4.3000000000000043</v>
      </c>
      <c r="N736" s="3">
        <f>(Table1[[#This Row],[Unit_Price]]-Table1[[#This Row],[Negotiated_Price]])/Table1[[#This Row],[Unit_Price]]</f>
        <v>6.4759036144578369E-2</v>
      </c>
      <c r="O736">
        <v>118</v>
      </c>
      <c r="P736" t="s">
        <v>15</v>
      </c>
      <c r="Q736">
        <f>IF(Table1[[#This Row],[Compliance]]="Yes", 1, 0)</f>
        <v>1</v>
      </c>
    </row>
    <row r="737" spans="1:17" x14ac:dyDescent="0.35">
      <c r="A737" t="s">
        <v>762</v>
      </c>
      <c r="B737" t="s">
        <v>12</v>
      </c>
      <c r="C737" s="1">
        <v>44615</v>
      </c>
      <c r="D737" s="1">
        <v>44620</v>
      </c>
      <c r="E737" s="1">
        <f>SUM(Table1[[#This Row],[Delivery_Date]]-Table1[[#This Row],[Order_Date]])</f>
        <v>5</v>
      </c>
      <c r="F737" t="s">
        <v>39</v>
      </c>
      <c r="G737" t="s">
        <v>18</v>
      </c>
      <c r="H737">
        <v>1467</v>
      </c>
      <c r="I737" s="4">
        <v>34.200000000000003</v>
      </c>
      <c r="J737" s="4">
        <v>30.5</v>
      </c>
      <c r="K737" s="4">
        <f>Table1[[#This Row],[Quantity]]*Table1[[#This Row],[Negotiated_Price]]</f>
        <v>44743.5</v>
      </c>
      <c r="L737" s="4">
        <f>Table1[[#This Row],[Quantity]]*Table1[[#This Row],[Unit_Price]]</f>
        <v>50171.4</v>
      </c>
      <c r="M737" s="4">
        <f>Table1[[#This Row],[Unit_Price]]-Table1[[#This Row],[Negotiated_Price]]</f>
        <v>3.7000000000000028</v>
      </c>
      <c r="N737" s="3">
        <f>(Table1[[#This Row],[Unit_Price]]-Table1[[#This Row],[Negotiated_Price]])/Table1[[#This Row],[Unit_Price]]</f>
        <v>0.10818713450292405</v>
      </c>
      <c r="O737">
        <v>25</v>
      </c>
      <c r="P737" t="s">
        <v>15</v>
      </c>
      <c r="Q737">
        <f>IF(Table1[[#This Row],[Compliance]]="Yes", 1, 0)</f>
        <v>1</v>
      </c>
    </row>
    <row r="738" spans="1:17" x14ac:dyDescent="0.35">
      <c r="A738" t="s">
        <v>763</v>
      </c>
      <c r="B738" t="s">
        <v>23</v>
      </c>
      <c r="C738" s="1">
        <v>44920</v>
      </c>
      <c r="D738" s="1">
        <v>44938</v>
      </c>
      <c r="E738" s="1">
        <f>SUM(Table1[[#This Row],[Delivery_Date]]-Table1[[#This Row],[Order_Date]])</f>
        <v>18</v>
      </c>
      <c r="F738" t="s">
        <v>24</v>
      </c>
      <c r="G738" t="s">
        <v>18</v>
      </c>
      <c r="H738">
        <v>1942</v>
      </c>
      <c r="I738" s="4">
        <v>93.98</v>
      </c>
      <c r="J738" s="4">
        <v>81.31</v>
      </c>
      <c r="K738" s="4">
        <f>Table1[[#This Row],[Quantity]]*Table1[[#This Row],[Negotiated_Price]]</f>
        <v>157904.02000000002</v>
      </c>
      <c r="L738" s="4">
        <f>Table1[[#This Row],[Quantity]]*Table1[[#This Row],[Unit_Price]]</f>
        <v>182509.16</v>
      </c>
      <c r="M738" s="4">
        <f>Table1[[#This Row],[Unit_Price]]-Table1[[#This Row],[Negotiated_Price]]</f>
        <v>12.670000000000002</v>
      </c>
      <c r="N738" s="3">
        <f>(Table1[[#This Row],[Unit_Price]]-Table1[[#This Row],[Negotiated_Price]])/Table1[[#This Row],[Unit_Price]]</f>
        <v>0.13481591828048523</v>
      </c>
      <c r="O738">
        <v>198</v>
      </c>
      <c r="P738" t="s">
        <v>15</v>
      </c>
      <c r="Q738">
        <f>IF(Table1[[#This Row],[Compliance]]="Yes", 1, 0)</f>
        <v>1</v>
      </c>
    </row>
    <row r="739" spans="1:17" hidden="1" x14ac:dyDescent="0.35">
      <c r="A739" t="s">
        <v>764</v>
      </c>
      <c r="B739" t="s">
        <v>20</v>
      </c>
      <c r="C739" s="1">
        <v>44791</v>
      </c>
      <c r="E739" s="1">
        <f>SUM(Table1[[#This Row],[Delivery_Date]]-Table1[[#This Row],[Order_Date]])</f>
        <v>-44791</v>
      </c>
      <c r="F739" t="s">
        <v>13</v>
      </c>
      <c r="G739" t="s">
        <v>18</v>
      </c>
      <c r="H739">
        <v>506</v>
      </c>
      <c r="I739">
        <v>84.63</v>
      </c>
      <c r="J739">
        <v>72.69</v>
      </c>
      <c r="K739">
        <f>Table1[[#This Row],[Quantity]]*Table1[[#This Row],[Negotiated_Price]]</f>
        <v>36781.14</v>
      </c>
      <c r="L739" s="5">
        <f>Table1[[#This Row],[Quantity]]*Table1[[#This Row],[Unit_Price]]</f>
        <v>42822.78</v>
      </c>
      <c r="M739">
        <f>Table1[[#This Row],[Unit_Price]]-Table1[[#This Row],[Negotiated_Price]]</f>
        <v>11.939999999999998</v>
      </c>
      <c r="N739" s="2">
        <f>(Table1[[#This Row],[Unit_Price]]-Table1[[#This Row],[Negotiated_Price]])/Table1[[#This Row],[Unit_Price]]</f>
        <v>0.14108472172988301</v>
      </c>
      <c r="O739">
        <v>20</v>
      </c>
      <c r="P739" t="s">
        <v>15</v>
      </c>
      <c r="Q739">
        <f>IF(Table1[[#This Row],[Compliance]]="Yes", 1, 0)</f>
        <v>1</v>
      </c>
    </row>
    <row r="740" spans="1:17" x14ac:dyDescent="0.35">
      <c r="A740" t="s">
        <v>765</v>
      </c>
      <c r="B740" t="s">
        <v>12</v>
      </c>
      <c r="C740" s="1">
        <v>45227</v>
      </c>
      <c r="D740" s="1">
        <v>45243</v>
      </c>
      <c r="E740" s="1">
        <f>SUM(Table1[[#This Row],[Delivery_Date]]-Table1[[#This Row],[Order_Date]])</f>
        <v>16</v>
      </c>
      <c r="F740" t="s">
        <v>21</v>
      </c>
      <c r="G740" t="s">
        <v>18</v>
      </c>
      <c r="H740">
        <v>969</v>
      </c>
      <c r="I740" s="4">
        <v>76.53</v>
      </c>
      <c r="J740" s="4">
        <v>75.64</v>
      </c>
      <c r="K740" s="4">
        <f>Table1[[#This Row],[Quantity]]*Table1[[#This Row],[Negotiated_Price]]</f>
        <v>73295.16</v>
      </c>
      <c r="L740" s="4">
        <f>Table1[[#This Row],[Quantity]]*Table1[[#This Row],[Unit_Price]]</f>
        <v>74157.570000000007</v>
      </c>
      <c r="M740" s="4">
        <f>Table1[[#This Row],[Unit_Price]]-Table1[[#This Row],[Negotiated_Price]]</f>
        <v>0.89000000000000057</v>
      </c>
      <c r="N740" s="3">
        <f>(Table1[[#This Row],[Unit_Price]]-Table1[[#This Row],[Negotiated_Price]])/Table1[[#This Row],[Unit_Price]]</f>
        <v>1.162942636874429E-2</v>
      </c>
      <c r="O740">
        <v>30</v>
      </c>
      <c r="P740" t="s">
        <v>15</v>
      </c>
      <c r="Q740">
        <f>IF(Table1[[#This Row],[Compliance]]="Yes", 1, 0)</f>
        <v>1</v>
      </c>
    </row>
    <row r="741" spans="1:17" x14ac:dyDescent="0.35">
      <c r="A741" t="s">
        <v>766</v>
      </c>
      <c r="B741" t="s">
        <v>17</v>
      </c>
      <c r="C741" s="1">
        <v>44632</v>
      </c>
      <c r="D741" s="1">
        <v>44639</v>
      </c>
      <c r="E741" s="1">
        <f>SUM(Table1[[#This Row],[Delivery_Date]]-Table1[[#This Row],[Order_Date]])</f>
        <v>7</v>
      </c>
      <c r="F741" t="s">
        <v>21</v>
      </c>
      <c r="G741" t="s">
        <v>18</v>
      </c>
      <c r="H741">
        <v>241</v>
      </c>
      <c r="I741" s="4">
        <v>87.42</v>
      </c>
      <c r="J741" s="4">
        <v>82.15</v>
      </c>
      <c r="K741" s="4">
        <f>Table1[[#This Row],[Quantity]]*Table1[[#This Row],[Negotiated_Price]]</f>
        <v>19798.150000000001</v>
      </c>
      <c r="L741" s="4">
        <f>Table1[[#This Row],[Quantity]]*Table1[[#This Row],[Unit_Price]]</f>
        <v>21068.22</v>
      </c>
      <c r="M741" s="4">
        <f>Table1[[#This Row],[Unit_Price]]-Table1[[#This Row],[Negotiated_Price]]</f>
        <v>5.269999999999996</v>
      </c>
      <c r="N741" s="3">
        <f>(Table1[[#This Row],[Unit_Price]]-Table1[[#This Row],[Negotiated_Price]])/Table1[[#This Row],[Unit_Price]]</f>
        <v>6.0283687943262367E-2</v>
      </c>
      <c r="P741" t="s">
        <v>15</v>
      </c>
      <c r="Q741">
        <f>IF(Table1[[#This Row],[Compliance]]="Yes", 1, 0)</f>
        <v>1</v>
      </c>
    </row>
    <row r="742" spans="1:17" x14ac:dyDescent="0.35">
      <c r="A742" t="s">
        <v>767</v>
      </c>
      <c r="B742" t="s">
        <v>20</v>
      </c>
      <c r="C742" s="1">
        <v>45229</v>
      </c>
      <c r="D742" s="1">
        <v>45239</v>
      </c>
      <c r="E742" s="1">
        <f>SUM(Table1[[#This Row],[Delivery_Date]]-Table1[[#This Row],[Order_Date]])</f>
        <v>10</v>
      </c>
      <c r="F742" t="s">
        <v>26</v>
      </c>
      <c r="G742" t="s">
        <v>18</v>
      </c>
      <c r="H742">
        <v>788</v>
      </c>
      <c r="I742" s="4">
        <v>97.3</v>
      </c>
      <c r="J742" s="4">
        <v>94.44</v>
      </c>
      <c r="K742" s="4">
        <f>Table1[[#This Row],[Quantity]]*Table1[[#This Row],[Negotiated_Price]]</f>
        <v>74418.720000000001</v>
      </c>
      <c r="L742" s="4">
        <f>Table1[[#This Row],[Quantity]]*Table1[[#This Row],[Unit_Price]]</f>
        <v>76672.399999999994</v>
      </c>
      <c r="M742" s="4">
        <f>Table1[[#This Row],[Unit_Price]]-Table1[[#This Row],[Negotiated_Price]]</f>
        <v>2.8599999999999994</v>
      </c>
      <c r="N742" s="3">
        <f>(Table1[[#This Row],[Unit_Price]]-Table1[[#This Row],[Negotiated_Price]])/Table1[[#This Row],[Unit_Price]]</f>
        <v>2.9393627954779029E-2</v>
      </c>
      <c r="O742">
        <v>32</v>
      </c>
      <c r="P742" t="s">
        <v>15</v>
      </c>
      <c r="Q742">
        <f>IF(Table1[[#This Row],[Compliance]]="Yes", 1, 0)</f>
        <v>1</v>
      </c>
    </row>
    <row r="743" spans="1:17" x14ac:dyDescent="0.35">
      <c r="A743" t="s">
        <v>768</v>
      </c>
      <c r="B743" t="s">
        <v>20</v>
      </c>
      <c r="C743" s="1">
        <v>44603</v>
      </c>
      <c r="D743" s="1">
        <v>44605</v>
      </c>
      <c r="E743" s="1">
        <f>SUM(Table1[[#This Row],[Delivery_Date]]-Table1[[#This Row],[Order_Date]])</f>
        <v>2</v>
      </c>
      <c r="F743" t="s">
        <v>13</v>
      </c>
      <c r="G743" t="s">
        <v>18</v>
      </c>
      <c r="H743">
        <v>1762</v>
      </c>
      <c r="I743" s="4">
        <v>74.12</v>
      </c>
      <c r="J743" s="4">
        <v>65.709999999999994</v>
      </c>
      <c r="K743" s="4">
        <f>Table1[[#This Row],[Quantity]]*Table1[[#This Row],[Negotiated_Price]]</f>
        <v>115781.01999999999</v>
      </c>
      <c r="L743" s="4">
        <f>Table1[[#This Row],[Quantity]]*Table1[[#This Row],[Unit_Price]]</f>
        <v>130599.44</v>
      </c>
      <c r="M743" s="4">
        <f>Table1[[#This Row],[Unit_Price]]-Table1[[#This Row],[Negotiated_Price]]</f>
        <v>8.4100000000000108</v>
      </c>
      <c r="N743" s="3">
        <f>(Table1[[#This Row],[Unit_Price]]-Table1[[#This Row],[Negotiated_Price]])/Table1[[#This Row],[Unit_Price]]</f>
        <v>0.11346465191581233</v>
      </c>
      <c r="O743">
        <v>94</v>
      </c>
      <c r="P743" t="s">
        <v>15</v>
      </c>
      <c r="Q743">
        <f>IF(Table1[[#This Row],[Compliance]]="Yes", 1, 0)</f>
        <v>1</v>
      </c>
    </row>
    <row r="744" spans="1:17" hidden="1" x14ac:dyDescent="0.35">
      <c r="A744" t="s">
        <v>769</v>
      </c>
      <c r="B744" t="s">
        <v>12</v>
      </c>
      <c r="C744" s="1">
        <v>44593</v>
      </c>
      <c r="E744" s="1">
        <f>SUM(Table1[[#This Row],[Delivery_Date]]-Table1[[#This Row],[Order_Date]])</f>
        <v>-44593</v>
      </c>
      <c r="F744" t="s">
        <v>26</v>
      </c>
      <c r="G744" t="s">
        <v>35</v>
      </c>
      <c r="H744">
        <v>1172</v>
      </c>
      <c r="I744">
        <v>85.76</v>
      </c>
      <c r="J744">
        <v>81.430000000000007</v>
      </c>
      <c r="K744">
        <f>Table1[[#This Row],[Quantity]]*Table1[[#This Row],[Negotiated_Price]]</f>
        <v>95435.96</v>
      </c>
      <c r="L744" s="5">
        <f>Table1[[#This Row],[Quantity]]*Table1[[#This Row],[Unit_Price]]</f>
        <v>100510.72</v>
      </c>
      <c r="M744">
        <f>Table1[[#This Row],[Unit_Price]]-Table1[[#This Row],[Negotiated_Price]]</f>
        <v>4.3299999999999983</v>
      </c>
      <c r="N744" s="2">
        <f>(Table1[[#This Row],[Unit_Price]]-Table1[[#This Row],[Negotiated_Price]])/Table1[[#This Row],[Unit_Price]]</f>
        <v>5.0489738805970123E-2</v>
      </c>
      <c r="O744">
        <v>25</v>
      </c>
      <c r="P744" t="s">
        <v>15</v>
      </c>
      <c r="Q744">
        <f>IF(Table1[[#This Row],[Compliance]]="Yes", 1, 0)</f>
        <v>1</v>
      </c>
    </row>
    <row r="745" spans="1:17" x14ac:dyDescent="0.35">
      <c r="A745" t="s">
        <v>770</v>
      </c>
      <c r="B745" t="s">
        <v>17</v>
      </c>
      <c r="C745" s="1">
        <v>44815</v>
      </c>
      <c r="D745" s="1">
        <v>44834</v>
      </c>
      <c r="E745" s="1">
        <f>SUM(Table1[[#This Row],[Delivery_Date]]-Table1[[#This Row],[Order_Date]])</f>
        <v>19</v>
      </c>
      <c r="F745" t="s">
        <v>13</v>
      </c>
      <c r="G745" t="s">
        <v>18</v>
      </c>
      <c r="H745">
        <v>1621</v>
      </c>
      <c r="I745" s="4">
        <v>75.680000000000007</v>
      </c>
      <c r="J745" s="4">
        <v>73.78</v>
      </c>
      <c r="K745" s="4">
        <f>Table1[[#This Row],[Quantity]]*Table1[[#This Row],[Negotiated_Price]]</f>
        <v>119597.38</v>
      </c>
      <c r="L745" s="4">
        <f>Table1[[#This Row],[Quantity]]*Table1[[#This Row],[Unit_Price]]</f>
        <v>122677.28000000001</v>
      </c>
      <c r="M745" s="4">
        <f>Table1[[#This Row],[Unit_Price]]-Table1[[#This Row],[Negotiated_Price]]</f>
        <v>1.9000000000000057</v>
      </c>
      <c r="N745" s="3">
        <f>(Table1[[#This Row],[Unit_Price]]-Table1[[#This Row],[Negotiated_Price]])/Table1[[#This Row],[Unit_Price]]</f>
        <v>2.5105708245243202E-2</v>
      </c>
      <c r="O745">
        <v>226</v>
      </c>
      <c r="P745" t="s">
        <v>27</v>
      </c>
      <c r="Q745">
        <f>IF(Table1[[#This Row],[Compliance]]="Yes", 1, 0)</f>
        <v>0</v>
      </c>
    </row>
    <row r="746" spans="1:17" x14ac:dyDescent="0.35">
      <c r="A746" t="s">
        <v>771</v>
      </c>
      <c r="B746" t="s">
        <v>12</v>
      </c>
      <c r="C746" s="1">
        <v>44766</v>
      </c>
      <c r="D746" s="1">
        <v>44768</v>
      </c>
      <c r="E746" s="1">
        <f>SUM(Table1[[#This Row],[Delivery_Date]]-Table1[[#This Row],[Order_Date]])</f>
        <v>2</v>
      </c>
      <c r="F746" t="s">
        <v>24</v>
      </c>
      <c r="G746" t="s">
        <v>18</v>
      </c>
      <c r="H746">
        <v>1027</v>
      </c>
      <c r="I746" s="4">
        <v>73.349999999999994</v>
      </c>
      <c r="J746" s="4">
        <v>65.42</v>
      </c>
      <c r="K746" s="4">
        <f>Table1[[#This Row],[Quantity]]*Table1[[#This Row],[Negotiated_Price]]</f>
        <v>67186.34</v>
      </c>
      <c r="L746" s="4">
        <f>Table1[[#This Row],[Quantity]]*Table1[[#This Row],[Unit_Price]]</f>
        <v>75330.45</v>
      </c>
      <c r="M746" s="4">
        <f>Table1[[#This Row],[Unit_Price]]-Table1[[#This Row],[Negotiated_Price]]</f>
        <v>7.9299999999999926</v>
      </c>
      <c r="N746" s="3">
        <f>(Table1[[#This Row],[Unit_Price]]-Table1[[#This Row],[Negotiated_Price]])/Table1[[#This Row],[Unit_Price]]</f>
        <v>0.10811179277436937</v>
      </c>
      <c r="O746">
        <v>24</v>
      </c>
      <c r="P746" t="s">
        <v>27</v>
      </c>
      <c r="Q746">
        <f>IF(Table1[[#This Row],[Compliance]]="Yes", 1, 0)</f>
        <v>0</v>
      </c>
    </row>
    <row r="747" spans="1:17" hidden="1" x14ac:dyDescent="0.35">
      <c r="A747" t="s">
        <v>772</v>
      </c>
      <c r="B747" t="s">
        <v>23</v>
      </c>
      <c r="C747" s="1">
        <v>44582</v>
      </c>
      <c r="E747" s="1">
        <f>SUM(Table1[[#This Row],[Delivery_Date]]-Table1[[#This Row],[Order_Date]])</f>
        <v>-44582</v>
      </c>
      <c r="F747" t="s">
        <v>26</v>
      </c>
      <c r="G747" t="s">
        <v>18</v>
      </c>
      <c r="H747">
        <v>1058</v>
      </c>
      <c r="I747">
        <v>65.680000000000007</v>
      </c>
      <c r="J747">
        <v>57.21</v>
      </c>
      <c r="K747">
        <f>Table1[[#This Row],[Quantity]]*Table1[[#This Row],[Negotiated_Price]]</f>
        <v>60528.18</v>
      </c>
      <c r="L747" s="5">
        <f>Table1[[#This Row],[Quantity]]*Table1[[#This Row],[Unit_Price]]</f>
        <v>69489.440000000002</v>
      </c>
      <c r="M747">
        <f>Table1[[#This Row],[Unit_Price]]-Table1[[#This Row],[Negotiated_Price]]</f>
        <v>8.470000000000006</v>
      </c>
      <c r="N747" s="2">
        <f>(Table1[[#This Row],[Unit_Price]]-Table1[[#This Row],[Negotiated_Price]])/Table1[[#This Row],[Unit_Price]]</f>
        <v>0.12895858708891603</v>
      </c>
      <c r="O747">
        <v>101</v>
      </c>
      <c r="P747" t="s">
        <v>15</v>
      </c>
      <c r="Q747">
        <f>IF(Table1[[#This Row],[Compliance]]="Yes", 1, 0)</f>
        <v>1</v>
      </c>
    </row>
    <row r="748" spans="1:17" x14ac:dyDescent="0.35">
      <c r="A748" t="s">
        <v>773</v>
      </c>
      <c r="B748" t="s">
        <v>23</v>
      </c>
      <c r="C748" s="1">
        <v>45198</v>
      </c>
      <c r="D748" s="1">
        <v>45204</v>
      </c>
      <c r="E748" s="1">
        <f>SUM(Table1[[#This Row],[Delivery_Date]]-Table1[[#This Row],[Order_Date]])</f>
        <v>6</v>
      </c>
      <c r="F748" t="s">
        <v>24</v>
      </c>
      <c r="G748" t="s">
        <v>18</v>
      </c>
      <c r="H748">
        <v>145</v>
      </c>
      <c r="I748" s="4">
        <v>85.52</v>
      </c>
      <c r="J748" s="4">
        <v>81.86</v>
      </c>
      <c r="K748" s="4">
        <f>Table1[[#This Row],[Quantity]]*Table1[[#This Row],[Negotiated_Price]]</f>
        <v>11869.7</v>
      </c>
      <c r="L748" s="4">
        <f>Table1[[#This Row],[Quantity]]*Table1[[#This Row],[Unit_Price]]</f>
        <v>12400.4</v>
      </c>
      <c r="M748" s="4">
        <f>Table1[[#This Row],[Unit_Price]]-Table1[[#This Row],[Negotiated_Price]]</f>
        <v>3.6599999999999966</v>
      </c>
      <c r="N748" s="3">
        <f>(Table1[[#This Row],[Unit_Price]]-Table1[[#This Row],[Negotiated_Price]])/Table1[[#This Row],[Unit_Price]]</f>
        <v>4.279700654817583E-2</v>
      </c>
      <c r="O748">
        <v>11</v>
      </c>
      <c r="P748" t="s">
        <v>27</v>
      </c>
      <c r="Q748">
        <f>IF(Table1[[#This Row],[Compliance]]="Yes", 1, 0)</f>
        <v>0</v>
      </c>
    </row>
    <row r="749" spans="1:17" hidden="1" x14ac:dyDescent="0.35">
      <c r="A749" t="s">
        <v>774</v>
      </c>
      <c r="B749" t="s">
        <v>29</v>
      </c>
      <c r="C749" s="1">
        <v>44718</v>
      </c>
      <c r="E749" s="1">
        <f>SUM(Table1[[#This Row],[Delivery_Date]]-Table1[[#This Row],[Order_Date]])</f>
        <v>-44718</v>
      </c>
      <c r="F749" t="s">
        <v>13</v>
      </c>
      <c r="G749" t="s">
        <v>18</v>
      </c>
      <c r="H749">
        <v>1737</v>
      </c>
      <c r="I749">
        <v>24.88</v>
      </c>
      <c r="J749">
        <v>24.28</v>
      </c>
      <c r="K749">
        <f>Table1[[#This Row],[Quantity]]*Table1[[#This Row],[Negotiated_Price]]</f>
        <v>42174.36</v>
      </c>
      <c r="L749" s="5">
        <f>Table1[[#This Row],[Quantity]]*Table1[[#This Row],[Unit_Price]]</f>
        <v>43216.56</v>
      </c>
      <c r="M749">
        <f>Table1[[#This Row],[Unit_Price]]-Table1[[#This Row],[Negotiated_Price]]</f>
        <v>0.59999999999999787</v>
      </c>
      <c r="N749" s="2">
        <f>(Table1[[#This Row],[Unit_Price]]-Table1[[#This Row],[Negotiated_Price]])/Table1[[#This Row],[Unit_Price]]</f>
        <v>2.4115755627009561E-2</v>
      </c>
      <c r="O749">
        <v>46</v>
      </c>
      <c r="P749" t="s">
        <v>15</v>
      </c>
      <c r="Q749">
        <f>IF(Table1[[#This Row],[Compliance]]="Yes", 1, 0)</f>
        <v>1</v>
      </c>
    </row>
    <row r="750" spans="1:17" x14ac:dyDescent="0.35">
      <c r="A750" t="s">
        <v>775</v>
      </c>
      <c r="B750" t="s">
        <v>20</v>
      </c>
      <c r="C750" s="1">
        <v>44806</v>
      </c>
      <c r="D750" s="1">
        <v>44819</v>
      </c>
      <c r="E750" s="1">
        <f>SUM(Table1[[#This Row],[Delivery_Date]]-Table1[[#This Row],[Order_Date]])</f>
        <v>13</v>
      </c>
      <c r="F750" t="s">
        <v>39</v>
      </c>
      <c r="G750" t="s">
        <v>18</v>
      </c>
      <c r="H750">
        <v>712</v>
      </c>
      <c r="I750" s="4">
        <v>92.85</v>
      </c>
      <c r="J750" s="4">
        <v>89.39</v>
      </c>
      <c r="K750" s="4">
        <f>Table1[[#This Row],[Quantity]]*Table1[[#This Row],[Negotiated_Price]]</f>
        <v>63645.68</v>
      </c>
      <c r="L750" s="4">
        <f>Table1[[#This Row],[Quantity]]*Table1[[#This Row],[Unit_Price]]</f>
        <v>66109.2</v>
      </c>
      <c r="M750" s="4">
        <f>Table1[[#This Row],[Unit_Price]]-Table1[[#This Row],[Negotiated_Price]]</f>
        <v>3.4599999999999937</v>
      </c>
      <c r="N750" s="3">
        <f>(Table1[[#This Row],[Unit_Price]]-Table1[[#This Row],[Negotiated_Price]])/Table1[[#This Row],[Unit_Price]]</f>
        <v>3.7264404954227184E-2</v>
      </c>
      <c r="O750">
        <v>43</v>
      </c>
      <c r="P750" t="s">
        <v>15</v>
      </c>
      <c r="Q750">
        <f>IF(Table1[[#This Row],[Compliance]]="Yes", 1, 0)</f>
        <v>1</v>
      </c>
    </row>
    <row r="751" spans="1:17" x14ac:dyDescent="0.35">
      <c r="A751" t="s">
        <v>776</v>
      </c>
      <c r="B751" t="s">
        <v>29</v>
      </c>
      <c r="C751" s="1">
        <v>44691</v>
      </c>
      <c r="D751" s="1">
        <v>44697</v>
      </c>
      <c r="E751" s="1">
        <f>SUM(Table1[[#This Row],[Delivery_Date]]-Table1[[#This Row],[Order_Date]])</f>
        <v>6</v>
      </c>
      <c r="F751" t="s">
        <v>39</v>
      </c>
      <c r="G751" t="s">
        <v>18</v>
      </c>
      <c r="H751">
        <v>1263</v>
      </c>
      <c r="I751" s="4">
        <v>90.24</v>
      </c>
      <c r="J751" s="4">
        <v>86.84</v>
      </c>
      <c r="K751" s="4">
        <f>Table1[[#This Row],[Quantity]]*Table1[[#This Row],[Negotiated_Price]]</f>
        <v>109678.92</v>
      </c>
      <c r="L751" s="4">
        <f>Table1[[#This Row],[Quantity]]*Table1[[#This Row],[Unit_Price]]</f>
        <v>113973.12</v>
      </c>
      <c r="M751" s="4">
        <f>Table1[[#This Row],[Unit_Price]]-Table1[[#This Row],[Negotiated_Price]]</f>
        <v>3.3999999999999915</v>
      </c>
      <c r="N751" s="3">
        <f>(Table1[[#This Row],[Unit_Price]]-Table1[[#This Row],[Negotiated_Price]])/Table1[[#This Row],[Unit_Price]]</f>
        <v>3.7677304964538916E-2</v>
      </c>
      <c r="O751">
        <v>28</v>
      </c>
      <c r="P751" t="s">
        <v>15</v>
      </c>
      <c r="Q751">
        <f>IF(Table1[[#This Row],[Compliance]]="Yes", 1, 0)</f>
        <v>1</v>
      </c>
    </row>
    <row r="752" spans="1:17" hidden="1" x14ac:dyDescent="0.35">
      <c r="A752" t="s">
        <v>777</v>
      </c>
      <c r="B752" t="s">
        <v>17</v>
      </c>
      <c r="C752" s="1">
        <v>45046</v>
      </c>
      <c r="E752" s="1">
        <f>SUM(Table1[[#This Row],[Delivery_Date]]-Table1[[#This Row],[Order_Date]])</f>
        <v>-45046</v>
      </c>
      <c r="F752" t="s">
        <v>39</v>
      </c>
      <c r="G752" t="s">
        <v>18</v>
      </c>
      <c r="H752">
        <v>1809</v>
      </c>
      <c r="I752">
        <v>13.58</v>
      </c>
      <c r="J752">
        <v>12.68</v>
      </c>
      <c r="K752">
        <f>Table1[[#This Row],[Quantity]]*Table1[[#This Row],[Negotiated_Price]]</f>
        <v>22938.12</v>
      </c>
      <c r="L752" s="5">
        <f>Table1[[#This Row],[Quantity]]*Table1[[#This Row],[Unit_Price]]</f>
        <v>24566.22</v>
      </c>
      <c r="M752">
        <f>Table1[[#This Row],[Unit_Price]]-Table1[[#This Row],[Negotiated_Price]]</f>
        <v>0.90000000000000036</v>
      </c>
      <c r="N752" s="2">
        <f>(Table1[[#This Row],[Unit_Price]]-Table1[[#This Row],[Negotiated_Price]])/Table1[[#This Row],[Unit_Price]]</f>
        <v>6.6273932253313725E-2</v>
      </c>
      <c r="P752" t="s">
        <v>27</v>
      </c>
      <c r="Q752">
        <f>IF(Table1[[#This Row],[Compliance]]="Yes", 1, 0)</f>
        <v>0</v>
      </c>
    </row>
    <row r="753" spans="1:17" hidden="1" x14ac:dyDescent="0.35">
      <c r="A753" t="s">
        <v>778</v>
      </c>
      <c r="B753" t="s">
        <v>23</v>
      </c>
      <c r="C753" s="1">
        <v>45247</v>
      </c>
      <c r="E753" s="1">
        <f>SUM(Table1[[#This Row],[Delivery_Date]]-Table1[[#This Row],[Order_Date]])</f>
        <v>-45247</v>
      </c>
      <c r="F753" t="s">
        <v>39</v>
      </c>
      <c r="G753" t="s">
        <v>14</v>
      </c>
      <c r="H753">
        <v>86</v>
      </c>
      <c r="I753">
        <v>93.6</v>
      </c>
      <c r="J753">
        <v>88.22</v>
      </c>
      <c r="K753">
        <f>Table1[[#This Row],[Quantity]]*Table1[[#This Row],[Negotiated_Price]]</f>
        <v>7586.92</v>
      </c>
      <c r="L753" s="5">
        <f>Table1[[#This Row],[Quantity]]*Table1[[#This Row],[Unit_Price]]</f>
        <v>8049.5999999999995</v>
      </c>
      <c r="M753">
        <f>Table1[[#This Row],[Unit_Price]]-Table1[[#This Row],[Negotiated_Price]]</f>
        <v>5.3799999999999955</v>
      </c>
      <c r="N753" s="2">
        <f>(Table1[[#This Row],[Unit_Price]]-Table1[[#This Row],[Negotiated_Price]])/Table1[[#This Row],[Unit_Price]]</f>
        <v>5.7478632478632434E-2</v>
      </c>
      <c r="O753">
        <v>5</v>
      </c>
      <c r="P753" t="s">
        <v>15</v>
      </c>
      <c r="Q753">
        <f>IF(Table1[[#This Row],[Compliance]]="Yes", 1, 0)</f>
        <v>1</v>
      </c>
    </row>
    <row r="754" spans="1:17" hidden="1" x14ac:dyDescent="0.35">
      <c r="A754" t="s">
        <v>779</v>
      </c>
      <c r="B754" t="s">
        <v>29</v>
      </c>
      <c r="C754" s="1">
        <v>44679</v>
      </c>
      <c r="E754" s="1">
        <f>SUM(Table1[[#This Row],[Delivery_Date]]-Table1[[#This Row],[Order_Date]])</f>
        <v>-44679</v>
      </c>
      <c r="F754" t="s">
        <v>21</v>
      </c>
      <c r="G754" t="s">
        <v>18</v>
      </c>
      <c r="H754">
        <v>1853</v>
      </c>
      <c r="I754">
        <v>21.92</v>
      </c>
      <c r="J754">
        <v>20.72</v>
      </c>
      <c r="K754">
        <f>Table1[[#This Row],[Quantity]]*Table1[[#This Row],[Negotiated_Price]]</f>
        <v>38394.159999999996</v>
      </c>
      <c r="L754" s="5">
        <f>Table1[[#This Row],[Quantity]]*Table1[[#This Row],[Unit_Price]]</f>
        <v>40617.760000000002</v>
      </c>
      <c r="M754">
        <f>Table1[[#This Row],[Unit_Price]]-Table1[[#This Row],[Negotiated_Price]]</f>
        <v>1.2000000000000028</v>
      </c>
      <c r="N754" s="2">
        <f>(Table1[[#This Row],[Unit_Price]]-Table1[[#This Row],[Negotiated_Price]])/Table1[[#This Row],[Unit_Price]]</f>
        <v>5.4744525547445383E-2</v>
      </c>
      <c r="P754" t="s">
        <v>15</v>
      </c>
      <c r="Q754">
        <f>IF(Table1[[#This Row],[Compliance]]="Yes", 1, 0)</f>
        <v>1</v>
      </c>
    </row>
    <row r="755" spans="1:17" x14ac:dyDescent="0.35">
      <c r="A755" t="s">
        <v>780</v>
      </c>
      <c r="B755" t="s">
        <v>23</v>
      </c>
      <c r="C755" s="1">
        <v>45139</v>
      </c>
      <c r="D755" s="1">
        <v>45140</v>
      </c>
      <c r="E755" s="1">
        <f>SUM(Table1[[#This Row],[Delivery_Date]]-Table1[[#This Row],[Order_Date]])</f>
        <v>1</v>
      </c>
      <c r="F755" t="s">
        <v>39</v>
      </c>
      <c r="G755" t="s">
        <v>18</v>
      </c>
      <c r="H755">
        <v>1442</v>
      </c>
      <c r="I755" s="4">
        <v>43.98</v>
      </c>
      <c r="J755" s="4">
        <v>41.82</v>
      </c>
      <c r="K755" s="4">
        <f>Table1[[#This Row],[Quantity]]*Table1[[#This Row],[Negotiated_Price]]</f>
        <v>60304.44</v>
      </c>
      <c r="L755" s="4">
        <f>Table1[[#This Row],[Quantity]]*Table1[[#This Row],[Unit_Price]]</f>
        <v>63419.159999999996</v>
      </c>
      <c r="M755" s="4">
        <f>Table1[[#This Row],[Unit_Price]]-Table1[[#This Row],[Negotiated_Price]]</f>
        <v>2.1599999999999966</v>
      </c>
      <c r="N755" s="3">
        <f>(Table1[[#This Row],[Unit_Price]]-Table1[[#This Row],[Negotiated_Price]])/Table1[[#This Row],[Unit_Price]]</f>
        <v>4.9113233287858042E-2</v>
      </c>
      <c r="O755">
        <v>140</v>
      </c>
      <c r="P755" t="s">
        <v>27</v>
      </c>
      <c r="Q755">
        <f>IF(Table1[[#This Row],[Compliance]]="Yes", 1, 0)</f>
        <v>0</v>
      </c>
    </row>
    <row r="756" spans="1:17" x14ac:dyDescent="0.35">
      <c r="A756" t="s">
        <v>781</v>
      </c>
      <c r="B756" t="s">
        <v>23</v>
      </c>
      <c r="C756" s="1">
        <v>44785</v>
      </c>
      <c r="D756" s="1">
        <v>44805</v>
      </c>
      <c r="E756" s="1">
        <f>SUM(Table1[[#This Row],[Delivery_Date]]-Table1[[#This Row],[Order_Date]])</f>
        <v>20</v>
      </c>
      <c r="F756" t="s">
        <v>13</v>
      </c>
      <c r="G756" t="s">
        <v>35</v>
      </c>
      <c r="H756">
        <v>1768</v>
      </c>
      <c r="I756" s="4">
        <v>79.61</v>
      </c>
      <c r="J756" s="4">
        <v>74.97</v>
      </c>
      <c r="K756" s="4">
        <f>Table1[[#This Row],[Quantity]]*Table1[[#This Row],[Negotiated_Price]]</f>
        <v>132546.96</v>
      </c>
      <c r="L756" s="4">
        <f>Table1[[#This Row],[Quantity]]*Table1[[#This Row],[Unit_Price]]</f>
        <v>140750.48000000001</v>
      </c>
      <c r="M756" s="4">
        <f>Table1[[#This Row],[Unit_Price]]-Table1[[#This Row],[Negotiated_Price]]</f>
        <v>4.6400000000000006</v>
      </c>
      <c r="N756" s="3">
        <f>(Table1[[#This Row],[Unit_Price]]-Table1[[#This Row],[Negotiated_Price]])/Table1[[#This Row],[Unit_Price]]</f>
        <v>5.8284135158899644E-2</v>
      </c>
      <c r="O756">
        <v>207</v>
      </c>
      <c r="P756" t="s">
        <v>27</v>
      </c>
      <c r="Q756">
        <f>IF(Table1[[#This Row],[Compliance]]="Yes", 1, 0)</f>
        <v>0</v>
      </c>
    </row>
    <row r="757" spans="1:17" x14ac:dyDescent="0.35">
      <c r="A757" t="s">
        <v>782</v>
      </c>
      <c r="B757" t="s">
        <v>23</v>
      </c>
      <c r="C757" s="1">
        <v>45038</v>
      </c>
      <c r="D757" s="1">
        <v>45049</v>
      </c>
      <c r="E757" s="1">
        <f>SUM(Table1[[#This Row],[Delivery_Date]]-Table1[[#This Row],[Order_Date]])</f>
        <v>11</v>
      </c>
      <c r="F757" t="s">
        <v>39</v>
      </c>
      <c r="G757" t="s">
        <v>33</v>
      </c>
      <c r="H757">
        <v>1598</v>
      </c>
      <c r="I757" s="4">
        <v>26.3</v>
      </c>
      <c r="J757" s="4">
        <v>26.03</v>
      </c>
      <c r="K757" s="4">
        <f>Table1[[#This Row],[Quantity]]*Table1[[#This Row],[Negotiated_Price]]</f>
        <v>41595.94</v>
      </c>
      <c r="L757" s="4">
        <f>Table1[[#This Row],[Quantity]]*Table1[[#This Row],[Unit_Price]]</f>
        <v>42027.4</v>
      </c>
      <c r="M757" s="4">
        <f>Table1[[#This Row],[Unit_Price]]-Table1[[#This Row],[Negotiated_Price]]</f>
        <v>0.26999999999999957</v>
      </c>
      <c r="N757" s="3">
        <f>(Table1[[#This Row],[Unit_Price]]-Table1[[#This Row],[Negotiated_Price]])/Table1[[#This Row],[Unit_Price]]</f>
        <v>1.0266159695817473E-2</v>
      </c>
      <c r="O757">
        <v>154</v>
      </c>
      <c r="P757" t="s">
        <v>27</v>
      </c>
      <c r="Q757">
        <f>IF(Table1[[#This Row],[Compliance]]="Yes", 1, 0)</f>
        <v>0</v>
      </c>
    </row>
    <row r="758" spans="1:17" x14ac:dyDescent="0.35">
      <c r="A758" t="s">
        <v>783</v>
      </c>
      <c r="B758" t="s">
        <v>12</v>
      </c>
      <c r="C758" s="1">
        <v>45278</v>
      </c>
      <c r="D758" s="1">
        <v>45296</v>
      </c>
      <c r="E758" s="1">
        <f>SUM(Table1[[#This Row],[Delivery_Date]]-Table1[[#This Row],[Order_Date]])</f>
        <v>18</v>
      </c>
      <c r="F758" t="s">
        <v>21</v>
      </c>
      <c r="G758" t="s">
        <v>14</v>
      </c>
      <c r="H758">
        <v>328</v>
      </c>
      <c r="I758" s="4">
        <v>93.23</v>
      </c>
      <c r="J758" s="4">
        <v>82.63</v>
      </c>
      <c r="K758" s="4">
        <f>Table1[[#This Row],[Quantity]]*Table1[[#This Row],[Negotiated_Price]]</f>
        <v>27102.639999999999</v>
      </c>
      <c r="L758" s="4">
        <f>Table1[[#This Row],[Quantity]]*Table1[[#This Row],[Unit_Price]]</f>
        <v>30579.440000000002</v>
      </c>
      <c r="M758" s="4">
        <f>Table1[[#This Row],[Unit_Price]]-Table1[[#This Row],[Negotiated_Price]]</f>
        <v>10.600000000000009</v>
      </c>
      <c r="N758" s="3">
        <f>(Table1[[#This Row],[Unit_Price]]-Table1[[#This Row],[Negotiated_Price]])/Table1[[#This Row],[Unit_Price]]</f>
        <v>0.11369730773356225</v>
      </c>
      <c r="O758">
        <v>6</v>
      </c>
      <c r="P758" t="s">
        <v>15</v>
      </c>
      <c r="Q758">
        <f>IF(Table1[[#This Row],[Compliance]]="Yes", 1, 0)</f>
        <v>1</v>
      </c>
    </row>
    <row r="759" spans="1:17" x14ac:dyDescent="0.35">
      <c r="A759" t="s">
        <v>784</v>
      </c>
      <c r="B759" t="s">
        <v>29</v>
      </c>
      <c r="C759" s="1">
        <v>44824</v>
      </c>
      <c r="D759" s="1">
        <v>44829</v>
      </c>
      <c r="E759" s="1">
        <f>SUM(Table1[[#This Row],[Delivery_Date]]-Table1[[#This Row],[Order_Date]])</f>
        <v>5</v>
      </c>
      <c r="F759" t="s">
        <v>24</v>
      </c>
      <c r="G759" t="s">
        <v>18</v>
      </c>
      <c r="H759">
        <v>266</v>
      </c>
      <c r="I759" s="4">
        <v>88.29</v>
      </c>
      <c r="J759" s="4">
        <v>80.22</v>
      </c>
      <c r="K759" s="4">
        <f>Table1[[#This Row],[Quantity]]*Table1[[#This Row],[Negotiated_Price]]</f>
        <v>21338.52</v>
      </c>
      <c r="L759" s="4">
        <f>Table1[[#This Row],[Quantity]]*Table1[[#This Row],[Unit_Price]]</f>
        <v>23485.140000000003</v>
      </c>
      <c r="M759" s="4">
        <f>Table1[[#This Row],[Unit_Price]]-Table1[[#This Row],[Negotiated_Price]]</f>
        <v>8.0700000000000074</v>
      </c>
      <c r="N759" s="3">
        <f>(Table1[[#This Row],[Unit_Price]]-Table1[[#This Row],[Negotiated_Price]])/Table1[[#This Row],[Unit_Price]]</f>
        <v>9.1403329935440106E-2</v>
      </c>
      <c r="O759">
        <v>4</v>
      </c>
      <c r="P759" t="s">
        <v>15</v>
      </c>
      <c r="Q759">
        <f>IF(Table1[[#This Row],[Compliance]]="Yes", 1, 0)</f>
        <v>1</v>
      </c>
    </row>
    <row r="760" spans="1:17" x14ac:dyDescent="0.35">
      <c r="A760" t="s">
        <v>785</v>
      </c>
      <c r="B760" t="s">
        <v>20</v>
      </c>
      <c r="C760" s="1">
        <v>44939</v>
      </c>
      <c r="D760" s="1">
        <v>44954</v>
      </c>
      <c r="E760" s="1">
        <f>SUM(Table1[[#This Row],[Delivery_Date]]-Table1[[#This Row],[Order_Date]])</f>
        <v>15</v>
      </c>
      <c r="F760" t="s">
        <v>26</v>
      </c>
      <c r="G760" t="s">
        <v>18</v>
      </c>
      <c r="H760">
        <v>916</v>
      </c>
      <c r="I760" s="4">
        <v>59.01</v>
      </c>
      <c r="J760" s="4">
        <v>53.37</v>
      </c>
      <c r="K760" s="4">
        <f>Table1[[#This Row],[Quantity]]*Table1[[#This Row],[Negotiated_Price]]</f>
        <v>48886.92</v>
      </c>
      <c r="L760" s="4">
        <f>Table1[[#This Row],[Quantity]]*Table1[[#This Row],[Unit_Price]]</f>
        <v>54053.159999999996</v>
      </c>
      <c r="M760" s="4">
        <f>Table1[[#This Row],[Unit_Price]]-Table1[[#This Row],[Negotiated_Price]]</f>
        <v>5.6400000000000006</v>
      </c>
      <c r="N760" s="3">
        <f>(Table1[[#This Row],[Unit_Price]]-Table1[[#This Row],[Negotiated_Price]])/Table1[[#This Row],[Unit_Price]]</f>
        <v>9.5577020843924776E-2</v>
      </c>
      <c r="O760">
        <v>47</v>
      </c>
      <c r="P760" t="s">
        <v>15</v>
      </c>
      <c r="Q760">
        <f>IF(Table1[[#This Row],[Compliance]]="Yes", 1, 0)</f>
        <v>1</v>
      </c>
    </row>
    <row r="761" spans="1:17" x14ac:dyDescent="0.35">
      <c r="A761" t="s">
        <v>786</v>
      </c>
      <c r="B761" t="s">
        <v>29</v>
      </c>
      <c r="C761" s="1">
        <v>44733</v>
      </c>
      <c r="D761" s="1">
        <v>44737</v>
      </c>
      <c r="E761" s="1">
        <f>SUM(Table1[[#This Row],[Delivery_Date]]-Table1[[#This Row],[Order_Date]])</f>
        <v>4</v>
      </c>
      <c r="F761" t="s">
        <v>24</v>
      </c>
      <c r="G761" t="s">
        <v>14</v>
      </c>
      <c r="H761">
        <v>922</v>
      </c>
      <c r="I761" s="4">
        <v>10.84</v>
      </c>
      <c r="J761" s="4">
        <v>9.27</v>
      </c>
      <c r="K761" s="4">
        <f>Table1[[#This Row],[Quantity]]*Table1[[#This Row],[Negotiated_Price]]</f>
        <v>8546.94</v>
      </c>
      <c r="L761" s="4">
        <f>Table1[[#This Row],[Quantity]]*Table1[[#This Row],[Unit_Price]]</f>
        <v>9994.48</v>
      </c>
      <c r="M761" s="4">
        <f>Table1[[#This Row],[Unit_Price]]-Table1[[#This Row],[Negotiated_Price]]</f>
        <v>1.5700000000000003</v>
      </c>
      <c r="N761" s="3">
        <f>(Table1[[#This Row],[Unit_Price]]-Table1[[#This Row],[Negotiated_Price]])/Table1[[#This Row],[Unit_Price]]</f>
        <v>0.14483394833948343</v>
      </c>
      <c r="O761">
        <v>29</v>
      </c>
      <c r="P761" t="s">
        <v>15</v>
      </c>
      <c r="Q761">
        <f>IF(Table1[[#This Row],[Compliance]]="Yes", 1, 0)</f>
        <v>1</v>
      </c>
    </row>
    <row r="762" spans="1:17" x14ac:dyDescent="0.35">
      <c r="A762" t="s">
        <v>787</v>
      </c>
      <c r="B762" t="s">
        <v>20</v>
      </c>
      <c r="C762" s="1">
        <v>45182</v>
      </c>
      <c r="D762" s="1">
        <v>45197</v>
      </c>
      <c r="E762" s="1">
        <f>SUM(Table1[[#This Row],[Delivery_Date]]-Table1[[#This Row],[Order_Date]])</f>
        <v>15</v>
      </c>
      <c r="F762" t="s">
        <v>24</v>
      </c>
      <c r="G762" t="s">
        <v>18</v>
      </c>
      <c r="H762">
        <v>1871</v>
      </c>
      <c r="I762" s="4">
        <v>39.42</v>
      </c>
      <c r="J762" s="4">
        <v>37.409999999999997</v>
      </c>
      <c r="K762" s="4">
        <f>Table1[[#This Row],[Quantity]]*Table1[[#This Row],[Negotiated_Price]]</f>
        <v>69994.11</v>
      </c>
      <c r="L762" s="4">
        <f>Table1[[#This Row],[Quantity]]*Table1[[#This Row],[Unit_Price]]</f>
        <v>73754.820000000007</v>
      </c>
      <c r="M762" s="4">
        <f>Table1[[#This Row],[Unit_Price]]-Table1[[#This Row],[Negotiated_Price]]</f>
        <v>2.0100000000000051</v>
      </c>
      <c r="N762" s="3">
        <f>(Table1[[#This Row],[Unit_Price]]-Table1[[#This Row],[Negotiated_Price]])/Table1[[#This Row],[Unit_Price]]</f>
        <v>5.0989345509893584E-2</v>
      </c>
      <c r="O762">
        <v>101</v>
      </c>
      <c r="P762" t="s">
        <v>27</v>
      </c>
      <c r="Q762">
        <f>IF(Table1[[#This Row],[Compliance]]="Yes", 1, 0)</f>
        <v>0</v>
      </c>
    </row>
    <row r="763" spans="1:17" x14ac:dyDescent="0.35">
      <c r="A763" t="s">
        <v>788</v>
      </c>
      <c r="B763" t="s">
        <v>29</v>
      </c>
      <c r="C763" s="1">
        <v>45183</v>
      </c>
      <c r="D763" s="1">
        <v>45189</v>
      </c>
      <c r="E763" s="1">
        <f>SUM(Table1[[#This Row],[Delivery_Date]]-Table1[[#This Row],[Order_Date]])</f>
        <v>6</v>
      </c>
      <c r="F763" t="s">
        <v>26</v>
      </c>
      <c r="G763" t="s">
        <v>18</v>
      </c>
      <c r="H763">
        <v>1346</v>
      </c>
      <c r="I763" s="4">
        <v>72.08</v>
      </c>
      <c r="J763" s="4">
        <v>67.040000000000006</v>
      </c>
      <c r="K763" s="4">
        <f>Table1[[#This Row],[Quantity]]*Table1[[#This Row],[Negotiated_Price]]</f>
        <v>90235.840000000011</v>
      </c>
      <c r="L763" s="4">
        <f>Table1[[#This Row],[Quantity]]*Table1[[#This Row],[Unit_Price]]</f>
        <v>97019.68</v>
      </c>
      <c r="M763" s="4">
        <f>Table1[[#This Row],[Unit_Price]]-Table1[[#This Row],[Negotiated_Price]]</f>
        <v>5.039999999999992</v>
      </c>
      <c r="N763" s="3">
        <f>(Table1[[#This Row],[Unit_Price]]-Table1[[#This Row],[Negotiated_Price]])/Table1[[#This Row],[Unit_Price]]</f>
        <v>6.9922308546059825E-2</v>
      </c>
      <c r="O763">
        <v>38</v>
      </c>
      <c r="P763" t="s">
        <v>15</v>
      </c>
      <c r="Q763">
        <f>IF(Table1[[#This Row],[Compliance]]="Yes", 1, 0)</f>
        <v>1</v>
      </c>
    </row>
    <row r="764" spans="1:17" x14ac:dyDescent="0.35">
      <c r="A764" t="s">
        <v>789</v>
      </c>
      <c r="B764" t="s">
        <v>29</v>
      </c>
      <c r="C764" s="1">
        <v>44679</v>
      </c>
      <c r="D764" s="1">
        <v>44690</v>
      </c>
      <c r="E764" s="1">
        <f>SUM(Table1[[#This Row],[Delivery_Date]]-Table1[[#This Row],[Order_Date]])</f>
        <v>11</v>
      </c>
      <c r="F764" t="s">
        <v>39</v>
      </c>
      <c r="G764" t="s">
        <v>18</v>
      </c>
      <c r="H764">
        <v>1954</v>
      </c>
      <c r="I764" s="4">
        <v>99.78</v>
      </c>
      <c r="J764" s="4">
        <v>87.47</v>
      </c>
      <c r="K764" s="4">
        <f>Table1[[#This Row],[Quantity]]*Table1[[#This Row],[Negotiated_Price]]</f>
        <v>170916.38</v>
      </c>
      <c r="L764" s="4">
        <f>Table1[[#This Row],[Quantity]]*Table1[[#This Row],[Unit_Price]]</f>
        <v>194970.12</v>
      </c>
      <c r="M764" s="4">
        <f>Table1[[#This Row],[Unit_Price]]-Table1[[#This Row],[Negotiated_Price]]</f>
        <v>12.310000000000002</v>
      </c>
      <c r="N764" s="3">
        <f>(Table1[[#This Row],[Unit_Price]]-Table1[[#This Row],[Negotiated_Price]])/Table1[[#This Row],[Unit_Price]]</f>
        <v>0.12337141711765887</v>
      </c>
      <c r="O764">
        <v>57</v>
      </c>
      <c r="P764" t="s">
        <v>15</v>
      </c>
      <c r="Q764">
        <f>IF(Table1[[#This Row],[Compliance]]="Yes", 1, 0)</f>
        <v>1</v>
      </c>
    </row>
    <row r="765" spans="1:17" x14ac:dyDescent="0.35">
      <c r="A765" t="s">
        <v>790</v>
      </c>
      <c r="B765" t="s">
        <v>23</v>
      </c>
      <c r="C765" s="1">
        <v>44729</v>
      </c>
      <c r="D765" s="1">
        <v>44748</v>
      </c>
      <c r="E765" s="1">
        <f>SUM(Table1[[#This Row],[Delivery_Date]]-Table1[[#This Row],[Order_Date]])</f>
        <v>19</v>
      </c>
      <c r="F765" t="s">
        <v>39</v>
      </c>
      <c r="G765" t="s">
        <v>18</v>
      </c>
      <c r="H765">
        <v>111</v>
      </c>
      <c r="I765" s="4">
        <v>68.53</v>
      </c>
      <c r="J765" s="4">
        <v>65.22</v>
      </c>
      <c r="K765" s="4">
        <f>Table1[[#This Row],[Quantity]]*Table1[[#This Row],[Negotiated_Price]]</f>
        <v>7239.42</v>
      </c>
      <c r="L765" s="4">
        <f>Table1[[#This Row],[Quantity]]*Table1[[#This Row],[Unit_Price]]</f>
        <v>7606.83</v>
      </c>
      <c r="M765" s="4">
        <f>Table1[[#This Row],[Unit_Price]]-Table1[[#This Row],[Negotiated_Price]]</f>
        <v>3.3100000000000023</v>
      </c>
      <c r="N765" s="3">
        <f>(Table1[[#This Row],[Unit_Price]]-Table1[[#This Row],[Negotiated_Price]])/Table1[[#This Row],[Unit_Price]]</f>
        <v>4.8300014592149457E-2</v>
      </c>
      <c r="O765">
        <v>11</v>
      </c>
      <c r="P765" t="s">
        <v>15</v>
      </c>
      <c r="Q765">
        <f>IF(Table1[[#This Row],[Compliance]]="Yes", 1, 0)</f>
        <v>1</v>
      </c>
    </row>
    <row r="766" spans="1:17" x14ac:dyDescent="0.35">
      <c r="A766" t="s">
        <v>791</v>
      </c>
      <c r="B766" t="s">
        <v>20</v>
      </c>
      <c r="C766" s="1">
        <v>44880</v>
      </c>
      <c r="D766" s="1">
        <v>44887</v>
      </c>
      <c r="E766" s="1">
        <f>SUM(Table1[[#This Row],[Delivery_Date]]-Table1[[#This Row],[Order_Date]])</f>
        <v>7</v>
      </c>
      <c r="F766" t="s">
        <v>13</v>
      </c>
      <c r="G766" t="s">
        <v>35</v>
      </c>
      <c r="H766">
        <v>645</v>
      </c>
      <c r="I766" s="4">
        <v>35.049999999999997</v>
      </c>
      <c r="J766" s="4">
        <v>30.88</v>
      </c>
      <c r="K766" s="4">
        <f>Table1[[#This Row],[Quantity]]*Table1[[#This Row],[Negotiated_Price]]</f>
        <v>19917.599999999999</v>
      </c>
      <c r="L766" s="4">
        <f>Table1[[#This Row],[Quantity]]*Table1[[#This Row],[Unit_Price]]</f>
        <v>22607.249999999996</v>
      </c>
      <c r="M766" s="4">
        <f>Table1[[#This Row],[Unit_Price]]-Table1[[#This Row],[Negotiated_Price]]</f>
        <v>4.1699999999999982</v>
      </c>
      <c r="N766" s="3">
        <f>(Table1[[#This Row],[Unit_Price]]-Table1[[#This Row],[Negotiated_Price]])/Table1[[#This Row],[Unit_Price]]</f>
        <v>0.11897289586305274</v>
      </c>
      <c r="O766">
        <v>27</v>
      </c>
      <c r="P766" t="s">
        <v>15</v>
      </c>
      <c r="Q766">
        <f>IF(Table1[[#This Row],[Compliance]]="Yes", 1, 0)</f>
        <v>1</v>
      </c>
    </row>
    <row r="767" spans="1:17" x14ac:dyDescent="0.35">
      <c r="A767" t="s">
        <v>792</v>
      </c>
      <c r="B767" t="s">
        <v>20</v>
      </c>
      <c r="C767" s="1">
        <v>44672</v>
      </c>
      <c r="D767" s="1">
        <v>44685</v>
      </c>
      <c r="E767" s="1">
        <f>SUM(Table1[[#This Row],[Delivery_Date]]-Table1[[#This Row],[Order_Date]])</f>
        <v>13</v>
      </c>
      <c r="F767" t="s">
        <v>39</v>
      </c>
      <c r="G767" t="s">
        <v>14</v>
      </c>
      <c r="H767">
        <v>1953</v>
      </c>
      <c r="I767" s="4">
        <v>68.069999999999993</v>
      </c>
      <c r="J767" s="4">
        <v>62.95</v>
      </c>
      <c r="K767" s="4">
        <f>Table1[[#This Row],[Quantity]]*Table1[[#This Row],[Negotiated_Price]]</f>
        <v>122941.35</v>
      </c>
      <c r="L767" s="4">
        <f>Table1[[#This Row],[Quantity]]*Table1[[#This Row],[Unit_Price]]</f>
        <v>132940.71</v>
      </c>
      <c r="M767" s="4">
        <f>Table1[[#This Row],[Unit_Price]]-Table1[[#This Row],[Negotiated_Price]]</f>
        <v>5.1199999999999903</v>
      </c>
      <c r="N767" s="3">
        <f>(Table1[[#This Row],[Unit_Price]]-Table1[[#This Row],[Negotiated_Price]])/Table1[[#This Row],[Unit_Price]]</f>
        <v>7.5216688702805803E-2</v>
      </c>
      <c r="O767">
        <v>87</v>
      </c>
      <c r="P767" t="s">
        <v>15</v>
      </c>
      <c r="Q767">
        <f>IF(Table1[[#This Row],[Compliance]]="Yes", 1, 0)</f>
        <v>1</v>
      </c>
    </row>
    <row r="768" spans="1:17" x14ac:dyDescent="0.35">
      <c r="A768" t="s">
        <v>793</v>
      </c>
      <c r="B768" t="s">
        <v>20</v>
      </c>
      <c r="C768" s="1">
        <v>45154</v>
      </c>
      <c r="D768" s="1">
        <v>45171</v>
      </c>
      <c r="E768" s="1">
        <f>SUM(Table1[[#This Row],[Delivery_Date]]-Table1[[#This Row],[Order_Date]])</f>
        <v>17</v>
      </c>
      <c r="F768" t="s">
        <v>39</v>
      </c>
      <c r="G768" t="s">
        <v>18</v>
      </c>
      <c r="H768">
        <v>778</v>
      </c>
      <c r="I768" s="4">
        <v>64.17</v>
      </c>
      <c r="J768" s="4">
        <v>61.6</v>
      </c>
      <c r="K768" s="4">
        <f>Table1[[#This Row],[Quantity]]*Table1[[#This Row],[Negotiated_Price]]</f>
        <v>47924.800000000003</v>
      </c>
      <c r="L768" s="4">
        <f>Table1[[#This Row],[Quantity]]*Table1[[#This Row],[Unit_Price]]</f>
        <v>49924.26</v>
      </c>
      <c r="M768" s="4">
        <f>Table1[[#This Row],[Unit_Price]]-Table1[[#This Row],[Negotiated_Price]]</f>
        <v>2.5700000000000003</v>
      </c>
      <c r="N768" s="3">
        <f>(Table1[[#This Row],[Unit_Price]]-Table1[[#This Row],[Negotiated_Price]])/Table1[[#This Row],[Unit_Price]]</f>
        <v>4.004986753934861E-2</v>
      </c>
      <c r="O768">
        <v>47</v>
      </c>
      <c r="P768" t="s">
        <v>15</v>
      </c>
      <c r="Q768">
        <f>IF(Table1[[#This Row],[Compliance]]="Yes", 1, 0)</f>
        <v>1</v>
      </c>
    </row>
    <row r="769" spans="1:17" x14ac:dyDescent="0.35">
      <c r="A769" t="s">
        <v>794</v>
      </c>
      <c r="B769" t="s">
        <v>29</v>
      </c>
      <c r="C769" s="1">
        <v>44588</v>
      </c>
      <c r="D769" s="1">
        <v>44601</v>
      </c>
      <c r="E769" s="1">
        <f>SUM(Table1[[#This Row],[Delivery_Date]]-Table1[[#This Row],[Order_Date]])</f>
        <v>13</v>
      </c>
      <c r="F769" t="s">
        <v>13</v>
      </c>
      <c r="G769" t="s">
        <v>18</v>
      </c>
      <c r="H769">
        <v>1415</v>
      </c>
      <c r="I769" s="4">
        <v>80.19</v>
      </c>
      <c r="J769" s="4">
        <v>78.34</v>
      </c>
      <c r="K769" s="4">
        <f>Table1[[#This Row],[Quantity]]*Table1[[#This Row],[Negotiated_Price]]</f>
        <v>110851.1</v>
      </c>
      <c r="L769" s="4">
        <f>Table1[[#This Row],[Quantity]]*Table1[[#This Row],[Unit_Price]]</f>
        <v>113468.84999999999</v>
      </c>
      <c r="M769" s="4">
        <f>Table1[[#This Row],[Unit_Price]]-Table1[[#This Row],[Negotiated_Price]]</f>
        <v>1.8499999999999943</v>
      </c>
      <c r="N769" s="3">
        <f>(Table1[[#This Row],[Unit_Price]]-Table1[[#This Row],[Negotiated_Price]])/Table1[[#This Row],[Unit_Price]]</f>
        <v>2.3070208255393371E-2</v>
      </c>
      <c r="P769" t="s">
        <v>15</v>
      </c>
      <c r="Q769">
        <f>IF(Table1[[#This Row],[Compliance]]="Yes", 1, 0)</f>
        <v>1</v>
      </c>
    </row>
    <row r="770" spans="1:17" x14ac:dyDescent="0.35">
      <c r="A770" t="s">
        <v>795</v>
      </c>
      <c r="B770" t="s">
        <v>20</v>
      </c>
      <c r="C770" s="1">
        <v>44881</v>
      </c>
      <c r="D770" s="1">
        <v>44887</v>
      </c>
      <c r="E770" s="1">
        <f>SUM(Table1[[#This Row],[Delivery_Date]]-Table1[[#This Row],[Order_Date]])</f>
        <v>6</v>
      </c>
      <c r="F770" t="s">
        <v>26</v>
      </c>
      <c r="G770" t="s">
        <v>18</v>
      </c>
      <c r="H770">
        <v>446</v>
      </c>
      <c r="I770" s="4">
        <v>20.61</v>
      </c>
      <c r="J770" s="4">
        <v>19.46</v>
      </c>
      <c r="K770" s="4">
        <f>Table1[[#This Row],[Quantity]]*Table1[[#This Row],[Negotiated_Price]]</f>
        <v>8679.16</v>
      </c>
      <c r="L770" s="4">
        <f>Table1[[#This Row],[Quantity]]*Table1[[#This Row],[Unit_Price]]</f>
        <v>9192.06</v>
      </c>
      <c r="M770" s="4">
        <f>Table1[[#This Row],[Unit_Price]]-Table1[[#This Row],[Negotiated_Price]]</f>
        <v>1.1499999999999986</v>
      </c>
      <c r="N770" s="3">
        <f>(Table1[[#This Row],[Unit_Price]]-Table1[[#This Row],[Negotiated_Price]])/Table1[[#This Row],[Unit_Price]]</f>
        <v>5.5798156234837387E-2</v>
      </c>
      <c r="O770">
        <v>14</v>
      </c>
      <c r="P770" t="s">
        <v>15</v>
      </c>
      <c r="Q770">
        <f>IF(Table1[[#This Row],[Compliance]]="Yes", 1, 0)</f>
        <v>1</v>
      </c>
    </row>
    <row r="771" spans="1:17" hidden="1" x14ac:dyDescent="0.35">
      <c r="A771" t="s">
        <v>796</v>
      </c>
      <c r="B771" t="s">
        <v>29</v>
      </c>
      <c r="C771" s="1">
        <v>45151</v>
      </c>
      <c r="E771" s="1">
        <f>SUM(Table1[[#This Row],[Delivery_Date]]-Table1[[#This Row],[Order_Date]])</f>
        <v>-45151</v>
      </c>
      <c r="F771" t="s">
        <v>13</v>
      </c>
      <c r="G771" t="s">
        <v>18</v>
      </c>
      <c r="H771">
        <v>748</v>
      </c>
      <c r="I771">
        <v>85.95</v>
      </c>
      <c r="J771">
        <v>79.16</v>
      </c>
      <c r="K771">
        <f>Table1[[#This Row],[Quantity]]*Table1[[#This Row],[Negotiated_Price]]</f>
        <v>59211.68</v>
      </c>
      <c r="L771" s="5">
        <f>Table1[[#This Row],[Quantity]]*Table1[[#This Row],[Unit_Price]]</f>
        <v>64290.6</v>
      </c>
      <c r="M771">
        <f>Table1[[#This Row],[Unit_Price]]-Table1[[#This Row],[Negotiated_Price]]</f>
        <v>6.7900000000000063</v>
      </c>
      <c r="N771" s="2">
        <f>(Table1[[#This Row],[Unit_Price]]-Table1[[#This Row],[Negotiated_Price]])/Table1[[#This Row],[Unit_Price]]</f>
        <v>7.8999418266434043E-2</v>
      </c>
      <c r="O771">
        <v>32</v>
      </c>
      <c r="P771" t="s">
        <v>15</v>
      </c>
      <c r="Q771">
        <f>IF(Table1[[#This Row],[Compliance]]="Yes", 1, 0)</f>
        <v>1</v>
      </c>
    </row>
    <row r="772" spans="1:17" x14ac:dyDescent="0.35">
      <c r="A772" t="s">
        <v>797</v>
      </c>
      <c r="B772" t="s">
        <v>12</v>
      </c>
      <c r="C772" s="1">
        <v>45255</v>
      </c>
      <c r="D772" s="1">
        <v>45263</v>
      </c>
      <c r="E772" s="1">
        <f>SUM(Table1[[#This Row],[Delivery_Date]]-Table1[[#This Row],[Order_Date]])</f>
        <v>8</v>
      </c>
      <c r="F772" t="s">
        <v>39</v>
      </c>
      <c r="G772" t="s">
        <v>35</v>
      </c>
      <c r="H772">
        <v>1092</v>
      </c>
      <c r="I772" s="4">
        <v>65.17</v>
      </c>
      <c r="J772" s="4">
        <v>63.11</v>
      </c>
      <c r="K772" s="4">
        <f>Table1[[#This Row],[Quantity]]*Table1[[#This Row],[Negotiated_Price]]</f>
        <v>68916.12</v>
      </c>
      <c r="L772" s="4">
        <f>Table1[[#This Row],[Quantity]]*Table1[[#This Row],[Unit_Price]]</f>
        <v>71165.64</v>
      </c>
      <c r="M772" s="4">
        <f>Table1[[#This Row],[Unit_Price]]-Table1[[#This Row],[Negotiated_Price]]</f>
        <v>2.0600000000000023</v>
      </c>
      <c r="N772" s="3">
        <f>(Table1[[#This Row],[Unit_Price]]-Table1[[#This Row],[Negotiated_Price]])/Table1[[#This Row],[Unit_Price]]</f>
        <v>3.1609636335737337E-2</v>
      </c>
      <c r="O772">
        <v>21</v>
      </c>
      <c r="P772" t="s">
        <v>15</v>
      </c>
      <c r="Q772">
        <f>IF(Table1[[#This Row],[Compliance]]="Yes", 1, 0)</f>
        <v>1</v>
      </c>
    </row>
    <row r="773" spans="1:17" x14ac:dyDescent="0.35">
      <c r="A773" t="s">
        <v>798</v>
      </c>
      <c r="B773" t="s">
        <v>23</v>
      </c>
      <c r="C773" s="1">
        <v>44946</v>
      </c>
      <c r="D773" s="1">
        <v>44959</v>
      </c>
      <c r="E773" s="1">
        <f>SUM(Table1[[#This Row],[Delivery_Date]]-Table1[[#This Row],[Order_Date]])</f>
        <v>13</v>
      </c>
      <c r="F773" t="s">
        <v>39</v>
      </c>
      <c r="G773" t="s">
        <v>18</v>
      </c>
      <c r="H773">
        <v>226</v>
      </c>
      <c r="I773" s="4">
        <v>102.47</v>
      </c>
      <c r="J773" s="4">
        <v>99.16</v>
      </c>
      <c r="K773" s="4">
        <f>Table1[[#This Row],[Quantity]]*Table1[[#This Row],[Negotiated_Price]]</f>
        <v>22410.16</v>
      </c>
      <c r="L773" s="4">
        <f>Table1[[#This Row],[Quantity]]*Table1[[#This Row],[Unit_Price]]</f>
        <v>23158.22</v>
      </c>
      <c r="M773" s="4">
        <f>Table1[[#This Row],[Unit_Price]]-Table1[[#This Row],[Negotiated_Price]]</f>
        <v>3.3100000000000023</v>
      </c>
      <c r="N773" s="3">
        <f>(Table1[[#This Row],[Unit_Price]]-Table1[[#This Row],[Negotiated_Price]])/Table1[[#This Row],[Unit_Price]]</f>
        <v>3.2302137210891015E-2</v>
      </c>
      <c r="O773">
        <v>28</v>
      </c>
      <c r="P773" t="s">
        <v>15</v>
      </c>
      <c r="Q773">
        <f>IF(Table1[[#This Row],[Compliance]]="Yes", 1, 0)</f>
        <v>1</v>
      </c>
    </row>
    <row r="774" spans="1:17" x14ac:dyDescent="0.35">
      <c r="A774" t="s">
        <v>799</v>
      </c>
      <c r="B774" t="s">
        <v>17</v>
      </c>
      <c r="C774" s="1">
        <v>44968</v>
      </c>
      <c r="D774" s="1">
        <v>44977</v>
      </c>
      <c r="E774" s="1">
        <f>SUM(Table1[[#This Row],[Delivery_Date]]-Table1[[#This Row],[Order_Date]])</f>
        <v>9</v>
      </c>
      <c r="F774" t="s">
        <v>39</v>
      </c>
      <c r="G774" t="s">
        <v>18</v>
      </c>
      <c r="H774">
        <v>1685</v>
      </c>
      <c r="I774" s="4">
        <v>43.42</v>
      </c>
      <c r="J774" s="4">
        <v>42.24</v>
      </c>
      <c r="K774" s="4">
        <f>Table1[[#This Row],[Quantity]]*Table1[[#This Row],[Negotiated_Price]]</f>
        <v>71174.400000000009</v>
      </c>
      <c r="L774" s="4">
        <f>Table1[[#This Row],[Quantity]]*Table1[[#This Row],[Unit_Price]]</f>
        <v>73162.7</v>
      </c>
      <c r="M774" s="4">
        <f>Table1[[#This Row],[Unit_Price]]-Table1[[#This Row],[Negotiated_Price]]</f>
        <v>1.1799999999999997</v>
      </c>
      <c r="N774" s="3">
        <f>(Table1[[#This Row],[Unit_Price]]-Table1[[#This Row],[Negotiated_Price]])/Table1[[#This Row],[Unit_Price]]</f>
        <v>2.7176416397973278E-2</v>
      </c>
      <c r="O774">
        <v>262</v>
      </c>
      <c r="P774" t="s">
        <v>15</v>
      </c>
      <c r="Q774">
        <f>IF(Table1[[#This Row],[Compliance]]="Yes", 1, 0)</f>
        <v>1</v>
      </c>
    </row>
    <row r="775" spans="1:17" hidden="1" x14ac:dyDescent="0.35">
      <c r="A775" t="s">
        <v>800</v>
      </c>
      <c r="B775" t="s">
        <v>12</v>
      </c>
      <c r="C775" s="1">
        <v>44765</v>
      </c>
      <c r="E775" s="1">
        <f>SUM(Table1[[#This Row],[Delivery_Date]]-Table1[[#This Row],[Order_Date]])</f>
        <v>-44765</v>
      </c>
      <c r="F775" t="s">
        <v>13</v>
      </c>
      <c r="G775" t="s">
        <v>18</v>
      </c>
      <c r="H775">
        <v>445</v>
      </c>
      <c r="I775">
        <v>68.94</v>
      </c>
      <c r="J775">
        <v>60.35</v>
      </c>
      <c r="K775">
        <f>Table1[[#This Row],[Quantity]]*Table1[[#This Row],[Negotiated_Price]]</f>
        <v>26855.75</v>
      </c>
      <c r="L775" s="5">
        <f>Table1[[#This Row],[Quantity]]*Table1[[#This Row],[Unit_Price]]</f>
        <v>30678.3</v>
      </c>
      <c r="M775">
        <f>Table1[[#This Row],[Unit_Price]]-Table1[[#This Row],[Negotiated_Price]]</f>
        <v>8.5899999999999963</v>
      </c>
      <c r="N775" s="2">
        <f>(Table1[[#This Row],[Unit_Price]]-Table1[[#This Row],[Negotiated_Price]])/Table1[[#This Row],[Unit_Price]]</f>
        <v>0.12460110240789087</v>
      </c>
      <c r="O775">
        <v>7</v>
      </c>
      <c r="P775" t="s">
        <v>15</v>
      </c>
      <c r="Q775">
        <f>IF(Table1[[#This Row],[Compliance]]="Yes", 1, 0)</f>
        <v>1</v>
      </c>
    </row>
    <row r="776" spans="1:17" x14ac:dyDescent="0.35">
      <c r="A776" t="s">
        <v>801</v>
      </c>
      <c r="B776" t="s">
        <v>20</v>
      </c>
      <c r="C776" s="1">
        <v>44639</v>
      </c>
      <c r="D776" s="1">
        <v>44658</v>
      </c>
      <c r="E776" s="1">
        <f>SUM(Table1[[#This Row],[Delivery_Date]]-Table1[[#This Row],[Order_Date]])</f>
        <v>19</v>
      </c>
      <c r="F776" t="s">
        <v>26</v>
      </c>
      <c r="G776" t="s">
        <v>18</v>
      </c>
      <c r="H776">
        <v>494</v>
      </c>
      <c r="I776" s="4">
        <v>94.82</v>
      </c>
      <c r="J776" s="4">
        <v>81.89</v>
      </c>
      <c r="K776" s="4">
        <f>Table1[[#This Row],[Quantity]]*Table1[[#This Row],[Negotiated_Price]]</f>
        <v>40453.660000000003</v>
      </c>
      <c r="L776" s="4">
        <f>Table1[[#This Row],[Quantity]]*Table1[[#This Row],[Unit_Price]]</f>
        <v>46841.079999999994</v>
      </c>
      <c r="M776" s="4">
        <f>Table1[[#This Row],[Unit_Price]]-Table1[[#This Row],[Negotiated_Price]]</f>
        <v>12.929999999999993</v>
      </c>
      <c r="N776" s="3">
        <f>(Table1[[#This Row],[Unit_Price]]-Table1[[#This Row],[Negotiated_Price]])/Table1[[#This Row],[Unit_Price]]</f>
        <v>0.1363636363636363</v>
      </c>
      <c r="O776">
        <v>29</v>
      </c>
      <c r="P776" t="s">
        <v>15</v>
      </c>
      <c r="Q776">
        <f>IF(Table1[[#This Row],[Compliance]]="Yes", 1, 0)</f>
        <v>1</v>
      </c>
    </row>
    <row r="777" spans="1:17" x14ac:dyDescent="0.35">
      <c r="A777" t="s">
        <v>802</v>
      </c>
      <c r="B777" t="s">
        <v>23</v>
      </c>
      <c r="C777" s="1">
        <v>45168</v>
      </c>
      <c r="D777" s="1">
        <v>45180</v>
      </c>
      <c r="E777" s="1">
        <f>SUM(Table1[[#This Row],[Delivery_Date]]-Table1[[#This Row],[Order_Date]])</f>
        <v>12</v>
      </c>
      <c r="F777" t="s">
        <v>21</v>
      </c>
      <c r="G777" t="s">
        <v>18</v>
      </c>
      <c r="H777">
        <v>1306</v>
      </c>
      <c r="I777" s="4">
        <v>21.05</v>
      </c>
      <c r="J777" s="4">
        <v>18.27</v>
      </c>
      <c r="K777" s="4">
        <f>Table1[[#This Row],[Quantity]]*Table1[[#This Row],[Negotiated_Price]]</f>
        <v>23860.62</v>
      </c>
      <c r="L777" s="4">
        <f>Table1[[#This Row],[Quantity]]*Table1[[#This Row],[Unit_Price]]</f>
        <v>27491.3</v>
      </c>
      <c r="M777" s="4">
        <f>Table1[[#This Row],[Unit_Price]]-Table1[[#This Row],[Negotiated_Price]]</f>
        <v>2.7800000000000011</v>
      </c>
      <c r="N777" s="3">
        <f>(Table1[[#This Row],[Unit_Price]]-Table1[[#This Row],[Negotiated_Price]])/Table1[[#This Row],[Unit_Price]]</f>
        <v>0.13206650831353925</v>
      </c>
      <c r="O777">
        <v>128</v>
      </c>
      <c r="P777" t="s">
        <v>15</v>
      </c>
      <c r="Q777">
        <f>IF(Table1[[#This Row],[Compliance]]="Yes", 1, 0)</f>
        <v>1</v>
      </c>
    </row>
    <row r="778" spans="1:17" x14ac:dyDescent="0.35">
      <c r="A778" t="s">
        <v>803</v>
      </c>
      <c r="B778" t="s">
        <v>23</v>
      </c>
      <c r="C778" s="1">
        <v>45269</v>
      </c>
      <c r="D778" s="1">
        <v>45271</v>
      </c>
      <c r="E778" s="1">
        <f>SUM(Table1[[#This Row],[Delivery_Date]]-Table1[[#This Row],[Order_Date]])</f>
        <v>2</v>
      </c>
      <c r="F778" t="s">
        <v>13</v>
      </c>
      <c r="G778" t="s">
        <v>18</v>
      </c>
      <c r="H778">
        <v>1988</v>
      </c>
      <c r="I778" s="4">
        <v>105.2</v>
      </c>
      <c r="J778" s="4">
        <v>93.23</v>
      </c>
      <c r="K778" s="4">
        <f>Table1[[#This Row],[Quantity]]*Table1[[#This Row],[Negotiated_Price]]</f>
        <v>185341.24000000002</v>
      </c>
      <c r="L778" s="4">
        <f>Table1[[#This Row],[Quantity]]*Table1[[#This Row],[Unit_Price]]</f>
        <v>209137.6</v>
      </c>
      <c r="M778" s="4">
        <f>Table1[[#This Row],[Unit_Price]]-Table1[[#This Row],[Negotiated_Price]]</f>
        <v>11.969999999999999</v>
      </c>
      <c r="N778" s="3">
        <f>(Table1[[#This Row],[Unit_Price]]-Table1[[#This Row],[Negotiated_Price]])/Table1[[#This Row],[Unit_Price]]</f>
        <v>0.11378326996197717</v>
      </c>
      <c r="O778">
        <v>187</v>
      </c>
      <c r="P778" t="s">
        <v>15</v>
      </c>
      <c r="Q778">
        <f>IF(Table1[[#This Row],[Compliance]]="Yes", 1, 0)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KPI Analysis 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Ayoolaoluwa Adeniran</cp:lastModifiedBy>
  <dcterms:created xsi:type="dcterms:W3CDTF">2026-02-21T23:43:09Z</dcterms:created>
  <dcterms:modified xsi:type="dcterms:W3CDTF">2026-02-22T11:10:56Z</dcterms:modified>
</cp:coreProperties>
</file>